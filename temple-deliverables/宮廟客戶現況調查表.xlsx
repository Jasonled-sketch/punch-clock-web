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調查表" sheetId="2" state="visible" r:id="rId2"/>
    <sheet name="彙總" sheetId="3" state="visible" r:id="rId3"/>
  </sheets>
  <definedNames>
    <definedName name="_xlnm._FilterDatabase" localSheetId="1" hidden="1">'調查表'!$A$1:$Y$301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7B1E1E"/>
      <sz val="16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color rgb="00808080"/>
    </font>
    <font>
      <name val="Arial"/>
      <b val="1"/>
      <color rgb="007B1E1E"/>
      <sz val="14"/>
    </font>
    <font>
      <name val="Arial"/>
      <color rgb="000000FF"/>
    </font>
    <font>
      <name val="Arial"/>
      <color rgb="00808080"/>
    </font>
  </fonts>
  <fills count="4">
    <fill>
      <patternFill/>
    </fill>
    <fill>
      <patternFill patternType="gray125"/>
    </fill>
    <fill>
      <patternFill patternType="solid">
        <fgColor rgb="007B1E1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dxfs count="1"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215 間宮廟客戶｜現況調查表</t>
        </is>
      </c>
    </row>
    <row r="2"/>
    <row r="3">
      <c r="A3" s="2" t="inlineStr">
        <is>
          <t>用途</t>
        </is>
      </c>
      <c r="B3" s="3" t="inlineStr">
        <is>
          <t>業務拜訪時當場填寫，找出每間廟用哪家廟務軟體、有哪些顯示設備、誰能拍板。</t>
        </is>
      </c>
    </row>
    <row r="4">
      <c r="A4" s="2" t="inlineStr">
        <is>
          <t>怎麼填</t>
        </is>
      </c>
      <c r="B4" s="3" t="inlineStr">
        <is>
          <t>只填「調查表」分頁的黃色欄位；有下拉選單的欄位請用選的，不要自己打字。</t>
        </is>
      </c>
    </row>
    <row r="5">
      <c r="A5" s="2" t="inlineStr">
        <is>
          <t>範例</t>
        </is>
      </c>
      <c r="B5" s="3" t="inlineStr">
        <is>
          <t>第 2 列是示範資料（溪湖○○宮），實際填寫從第 3 列開始，示範列可刪除。</t>
        </is>
      </c>
    </row>
    <row r="6">
      <c r="A6" s="2" t="inlineStr">
        <is>
          <t>拍照</t>
        </is>
      </c>
      <c r="B6" s="3" t="inlineStr">
        <is>
          <t>請拍：廟務軟體主畫面、收據樣本、字幕機控制卡貼紙，檔名用「廟宇代碼_項目.jpg」。</t>
        </is>
      </c>
    </row>
    <row r="7">
      <c r="A7" s="2" t="inlineStr">
        <is>
          <t>機會分數</t>
        </is>
      </c>
      <c r="B7" s="3" t="inlineStr">
        <is>
          <t>系統自動計算（0～10 分），分數越高越適合當示範廟或優先推月租。</t>
        </is>
      </c>
    </row>
    <row r="8">
      <c r="A8" s="2" t="inlineStr">
        <is>
          <t>計分規則</t>
        </is>
      </c>
      <c r="B8" s="3" t="inlineStr">
        <is>
          <t>有 LED 字幕機 +2；有電視 +1；控制卡為 HDPlayer +1；香火大或中 +2／+1；主委對新科技有興趣 +2；軟體為個人開發者或沒有軟體 +2。</t>
        </is>
      </c>
    </row>
    <row r="9">
      <c r="A9" s="2" t="inlineStr">
        <is>
          <t>彙總</t>
        </is>
      </c>
      <c r="B9" s="3" t="inlineStr">
        <is>
          <t>「彙總」分頁自動統計各家軟體占比、各縣市家數與高分名單數。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10" customWidth="1" min="4" max="4"/>
    <col width="10" customWidth="1" min="5" max="5"/>
    <col width="10" customWidth="1" min="6" max="6"/>
    <col width="13" customWidth="1" min="7" max="7"/>
    <col width="16" customWidth="1" min="8" max="8"/>
    <col width="20" customWidth="1" min="9" max="9"/>
    <col width="11" customWidth="1" min="10" max="10"/>
    <col width="10" customWidth="1" min="11" max="11"/>
    <col width="9" customWidth="1" min="12" max="12"/>
    <col width="9" customWidth="1" min="13" max="13"/>
    <col width="12" customWidth="1" min="14" max="14"/>
    <col width="9" customWidth="1" min="15" max="15"/>
    <col width="8" customWidth="1" min="16" max="16"/>
    <col width="11" customWidth="1" min="17" max="17"/>
    <col width="9" customWidth="1" min="18" max="18"/>
    <col width="11" customWidth="1" min="19" max="19"/>
    <col width="26" customWidth="1" min="20" max="20"/>
    <col width="9" customWidth="1" min="21" max="21"/>
    <col width="9" customWidth="1" min="22" max="22"/>
    <col width="11" customWidth="1" min="23" max="23"/>
    <col width="24" customWidth="1" min="24" max="24"/>
    <col width="9" customWidth="1" min="25" max="25"/>
  </cols>
  <sheetData>
    <row r="1" ht="34" customHeight="1">
      <c r="A1" s="4" t="inlineStr">
        <is>
          <t>廟宇代碼</t>
        </is>
      </c>
      <c r="B1" s="4" t="inlineStr">
        <is>
          <t>廟名</t>
        </is>
      </c>
      <c r="C1" s="4" t="inlineStr">
        <is>
          <t>縣市</t>
        </is>
      </c>
      <c r="D1" s="4" t="inlineStr">
        <is>
          <t>鄉鎮區</t>
        </is>
      </c>
      <c r="E1" s="4" t="inlineStr">
        <is>
          <t>聯絡人</t>
        </is>
      </c>
      <c r="F1" s="4" t="inlineStr">
        <is>
          <t>職稱</t>
        </is>
      </c>
      <c r="G1" s="4" t="inlineStr">
        <is>
          <t>電話</t>
        </is>
      </c>
      <c r="H1" s="4" t="inlineStr">
        <is>
          <t>現用廟務軟體</t>
        </is>
      </c>
      <c r="I1" s="4" t="inlineStr">
        <is>
          <t>軟體名稱／開發者</t>
        </is>
      </c>
      <c r="J1" s="4" t="inlineStr">
        <is>
          <t>收費方式</t>
        </is>
      </c>
      <c r="K1" s="4" t="inlineStr">
        <is>
          <t>購買年份（民國）</t>
        </is>
      </c>
      <c r="L1" s="4" t="inlineStr">
        <is>
          <t>滿意度 1-5</t>
        </is>
      </c>
      <c r="M1" s="4" t="inlineStr">
        <is>
          <t>有 LED 字幕機</t>
        </is>
      </c>
      <c r="N1" s="4" t="inlineStr">
        <is>
          <t>控制卡軟體</t>
        </is>
      </c>
      <c r="O1" s="4" t="inlineStr">
        <is>
          <t>有電視／電視牆</t>
        </is>
      </c>
      <c r="P1" s="4" t="inlineStr">
        <is>
          <t>有網路</t>
        </is>
      </c>
      <c r="Q1" s="4" t="inlineStr">
        <is>
          <t>每年點燈戶數（約）</t>
        </is>
      </c>
      <c r="R1" s="4" t="inlineStr">
        <is>
          <t>香火規模</t>
        </is>
      </c>
      <c r="S1" s="4" t="inlineStr">
        <is>
          <t>主委對新科技</t>
        </is>
      </c>
      <c r="T1" s="4" t="inlineStr">
        <is>
          <t>最想解決的問題</t>
        </is>
      </c>
      <c r="U1" s="4" t="inlineStr">
        <is>
          <t>拍照已上傳</t>
        </is>
      </c>
      <c r="V1" s="4" t="inlineStr">
        <is>
          <t>拜訪業務</t>
        </is>
      </c>
      <c r="W1" s="4" t="inlineStr">
        <is>
          <t>拜訪日期</t>
        </is>
      </c>
      <c r="X1" s="4" t="inlineStr">
        <is>
          <t>備註</t>
        </is>
      </c>
      <c r="Y1" s="4" t="inlineStr">
        <is>
          <t>機會分數</t>
        </is>
      </c>
    </row>
    <row r="2">
      <c r="A2" s="5" t="inlineStr">
        <is>
          <t>T0001</t>
        </is>
      </c>
      <c r="B2" s="5" t="inlineStr">
        <is>
          <t>溪湖○○宮</t>
        </is>
      </c>
      <c r="C2" s="5" t="inlineStr">
        <is>
          <t>彰化縣</t>
        </is>
      </c>
      <c r="D2" s="5" t="inlineStr">
        <is>
          <t>溪湖鎮</t>
        </is>
      </c>
      <c r="E2" s="5" t="inlineStr">
        <is>
          <t>陳總幹事</t>
        </is>
      </c>
      <c r="F2" s="5" t="inlineStr">
        <is>
          <t>總幹事</t>
        </is>
      </c>
      <c r="G2" s="5" t="inlineStr">
        <is>
          <t>0912-345678</t>
        </is>
      </c>
      <c r="H2" s="5" t="inlineStr">
        <is>
          <t>個人開發者</t>
        </is>
      </c>
      <c r="I2" s="5" t="inlineStr">
        <is>
          <t>楊昌暾老師</t>
        </is>
      </c>
      <c r="J2" s="5" t="inlineStr">
        <is>
          <t>一次買斷</t>
        </is>
      </c>
      <c r="K2" s="5" t="n">
        <v>112</v>
      </c>
      <c r="L2" s="5" t="n">
        <v>4</v>
      </c>
      <c r="M2" s="5" t="inlineStr">
        <is>
          <t>是</t>
        </is>
      </c>
      <c r="N2" s="5" t="inlineStr">
        <is>
          <t>HDPlayer</t>
        </is>
      </c>
      <c r="O2" s="5" t="inlineStr">
        <is>
          <t>是</t>
        </is>
      </c>
      <c r="P2" s="5" t="inlineStr">
        <is>
          <t>是</t>
        </is>
      </c>
      <c r="Q2" s="5" t="n">
        <v>800</v>
      </c>
      <c r="R2" s="5" t="inlineStr">
        <is>
          <t>中</t>
        </is>
      </c>
      <c r="S2" s="5" t="inlineStr">
        <is>
          <t>有興趣</t>
        </is>
      </c>
      <c r="T2" s="5" t="inlineStr">
        <is>
          <t>點燈名單要手寫貼牆，很花時間</t>
        </is>
      </c>
      <c r="U2" s="5" t="inlineStr">
        <is>
          <t>是</t>
        </is>
      </c>
      <c r="V2" s="5" t="inlineStr">
        <is>
          <t>小關</t>
        </is>
      </c>
      <c r="W2" s="5" t="inlineStr">
        <is>
          <t>2026-10-01</t>
        </is>
      </c>
      <c r="X2" s="5" t="inlineStr">
        <is>
          <t>主委下月改選</t>
        </is>
      </c>
      <c r="Y2" s="6">
        <f>IF(B2="","",(M2="是")*2+(O2="是")*1+(N2="HDPlayer")*1+IF(R2="大",2,IF(R2="中",1,0))+(S2="有興趣")*2+OR(H2="個人開發者",H2="沒有軟體")*2)</f>
        <v/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6">
        <f>IF(B3="","",(M3="是")*2+(O3="是")*1+(N3="HDPlayer")*1+IF(R3="大",2,IF(R3="中",1,0))+(S3="有興趣")*2+OR(H3="個人開發者",H3="沒有軟體")*2)</f>
        <v/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6">
        <f>IF(B4="","",(M4="是")*2+(O4="是")*1+(N4="HDPlayer")*1+IF(R4="大",2,IF(R4="中",1,0))+(S4="有興趣")*2+OR(H4="個人開發者",H4="沒有軟體")*2)</f>
        <v/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6">
        <f>IF(B5="","",(M5="是")*2+(O5="是")*1+(N5="HDPlayer")*1+IF(R5="大",2,IF(R5="中",1,0))+(S5="有興趣")*2+OR(H5="個人開發者",H5="沒有軟體")*2)</f>
        <v/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6">
        <f>IF(B6="","",(M6="是")*2+(O6="是")*1+(N6="HDPlayer")*1+IF(R6="大",2,IF(R6="中",1,0))+(S6="有興趣")*2+OR(H6="個人開發者",H6="沒有軟體")*2)</f>
        <v/>
      </c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6">
        <f>IF(B7="","",(M7="是")*2+(O7="是")*1+(N7="HDPlayer")*1+IF(R7="大",2,IF(R7="中",1,0))+(S7="有興趣")*2+OR(H7="個人開發者",H7="沒有軟體")*2)</f>
        <v/>
      </c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6">
        <f>IF(B8="","",(M8="是")*2+(O8="是")*1+(N8="HDPlayer")*1+IF(R8="大",2,IF(R8="中",1,0))+(S8="有興趣")*2+OR(H8="個人開發者",H8="沒有軟體")*2)</f>
        <v/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6">
        <f>IF(B9="","",(M9="是")*2+(O9="是")*1+(N9="HDPlayer")*1+IF(R9="大",2,IF(R9="中",1,0))+(S9="有興趣")*2+OR(H9="個人開發者",H9="沒有軟體")*2)</f>
        <v/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6">
        <f>IF(B10="","",(M10="是")*2+(O10="是")*1+(N10="HDPlayer")*1+IF(R10="大",2,IF(R10="中",1,0))+(S10="有興趣")*2+OR(H10="個人開發者",H10="沒有軟體")*2)</f>
        <v/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6">
        <f>IF(B11="","",(M11="是")*2+(O11="是")*1+(N11="HDPlayer")*1+IF(R11="大",2,IF(R11="中",1,0))+(S11="有興趣")*2+OR(H11="個人開發者",H11="沒有軟體")*2)</f>
        <v/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6">
        <f>IF(B12="","",(M12="是")*2+(O12="是")*1+(N12="HDPlayer")*1+IF(R12="大",2,IF(R12="中",1,0))+(S12="有興趣")*2+OR(H12="個人開發者",H12="沒有軟體")*2)</f>
        <v/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6">
        <f>IF(B13="","",(M13="是")*2+(O13="是")*1+(N13="HDPlayer")*1+IF(R13="大",2,IF(R13="中",1,0))+(S13="有興趣")*2+OR(H13="個人開發者",H13="沒有軟體")*2)</f>
        <v/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6">
        <f>IF(B14="","",(M14="是")*2+(O14="是")*1+(N14="HDPlayer")*1+IF(R14="大",2,IF(R14="中",1,0))+(S14="有興趣")*2+OR(H14="個人開發者",H14="沒有軟體")*2)</f>
        <v/>
      </c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6">
        <f>IF(B15="","",(M15="是")*2+(O15="是")*1+(N15="HDPlayer")*1+IF(R15="大",2,IF(R15="中",1,0))+(S15="有興趣")*2+OR(H15="個人開發者",H15="沒有軟體")*2)</f>
        <v/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6">
        <f>IF(B16="","",(M16="是")*2+(O16="是")*1+(N16="HDPlayer")*1+IF(R16="大",2,IF(R16="中",1,0))+(S16="有興趣")*2+OR(H16="個人開發者",H16="沒有軟體")*2)</f>
        <v/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6">
        <f>IF(B17="","",(M17="是")*2+(O17="是")*1+(N17="HDPlayer")*1+IF(R17="大",2,IF(R17="中",1,0))+(S17="有興趣")*2+OR(H17="個人開發者",H17="沒有軟體")*2)</f>
        <v/>
      </c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6">
        <f>IF(B18="","",(M18="是")*2+(O18="是")*1+(N18="HDPlayer")*1+IF(R18="大",2,IF(R18="中",1,0))+(S18="有興趣")*2+OR(H18="個人開發者",H18="沒有軟體")*2)</f>
        <v/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6">
        <f>IF(B19="","",(M19="是")*2+(O19="是")*1+(N19="HDPlayer")*1+IF(R19="大",2,IF(R19="中",1,0))+(S19="有興趣")*2+OR(H19="個人開發者",H19="沒有軟體")*2)</f>
        <v/>
      </c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6">
        <f>IF(B20="","",(M20="是")*2+(O20="是")*1+(N20="HDPlayer")*1+IF(R20="大",2,IF(R20="中",1,0))+(S20="有興趣")*2+OR(H20="個人開發者",H20="沒有軟體")*2)</f>
        <v/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6">
        <f>IF(B21="","",(M21="是")*2+(O21="是")*1+(N21="HDPlayer")*1+IF(R21="大",2,IF(R21="中",1,0))+(S21="有興趣")*2+OR(H21="個人開發者",H21="沒有軟體")*2)</f>
        <v/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6">
        <f>IF(B22="","",(M22="是")*2+(O22="是")*1+(N22="HDPlayer")*1+IF(R22="大",2,IF(R22="中",1,0))+(S22="有興趣")*2+OR(H22="個人開發者",H22="沒有軟體")*2)</f>
        <v/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6">
        <f>IF(B23="","",(M23="是")*2+(O23="是")*1+(N23="HDPlayer")*1+IF(R23="大",2,IF(R23="中",1,0))+(S23="有興趣")*2+OR(H23="個人開發者",H23="沒有軟體")*2)</f>
        <v/>
      </c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6">
        <f>IF(B24="","",(M24="是")*2+(O24="是")*1+(N24="HDPlayer")*1+IF(R24="大",2,IF(R24="中",1,0))+(S24="有興趣")*2+OR(H24="個人開發者",H24="沒有軟體")*2)</f>
        <v/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6">
        <f>IF(B25="","",(M25="是")*2+(O25="是")*1+(N25="HDPlayer")*1+IF(R25="大",2,IF(R25="中",1,0))+(S25="有興趣")*2+OR(H25="個人開發者",H25="沒有軟體")*2)</f>
        <v/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6">
        <f>IF(B26="","",(M26="是")*2+(O26="是")*1+(N26="HDPlayer")*1+IF(R26="大",2,IF(R26="中",1,0))+(S26="有興趣")*2+OR(H26="個人開發者",H26="沒有軟體")*2)</f>
        <v/>
      </c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6">
        <f>IF(B27="","",(M27="是")*2+(O27="是")*1+(N27="HDPlayer")*1+IF(R27="大",2,IF(R27="中",1,0))+(S27="有興趣")*2+OR(H27="個人開發者",H27="沒有軟體")*2)</f>
        <v/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6">
        <f>IF(B28="","",(M28="是")*2+(O28="是")*1+(N28="HDPlayer")*1+IF(R28="大",2,IF(R28="中",1,0))+(S28="有興趣")*2+OR(H28="個人開發者",H28="沒有軟體")*2)</f>
        <v/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6">
        <f>IF(B29="","",(M29="是")*2+(O29="是")*1+(N29="HDPlayer")*1+IF(R29="大",2,IF(R29="中",1,0))+(S29="有興趣")*2+OR(H29="個人開發者",H29="沒有軟體")*2)</f>
        <v/>
      </c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6">
        <f>IF(B30="","",(M30="是")*2+(O30="是")*1+(N30="HDPlayer")*1+IF(R30="大",2,IF(R30="中",1,0))+(S30="有興趣")*2+OR(H30="個人開發者",H30="沒有軟體")*2)</f>
        <v/>
      </c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6">
        <f>IF(B31="","",(M31="是")*2+(O31="是")*1+(N31="HDPlayer")*1+IF(R31="大",2,IF(R31="中",1,0))+(S31="有興趣")*2+OR(H31="個人開發者",H31="沒有軟體")*2)</f>
        <v/>
      </c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6">
        <f>IF(B32="","",(M32="是")*2+(O32="是")*1+(N32="HDPlayer")*1+IF(R32="大",2,IF(R32="中",1,0))+(S32="有興趣")*2+OR(H32="個人開發者",H32="沒有軟體")*2)</f>
        <v/>
      </c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6">
        <f>IF(B33="","",(M33="是")*2+(O33="是")*1+(N33="HDPlayer")*1+IF(R33="大",2,IF(R33="中",1,0))+(S33="有興趣")*2+OR(H33="個人開發者",H33="沒有軟體")*2)</f>
        <v/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6">
        <f>IF(B34="","",(M34="是")*2+(O34="是")*1+(N34="HDPlayer")*1+IF(R34="大",2,IF(R34="中",1,0))+(S34="有興趣")*2+OR(H34="個人開發者",H34="沒有軟體")*2)</f>
        <v/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6">
        <f>IF(B35="","",(M35="是")*2+(O35="是")*1+(N35="HDPlayer")*1+IF(R35="大",2,IF(R35="中",1,0))+(S35="有興趣")*2+OR(H35="個人開發者",H35="沒有軟體")*2)</f>
        <v/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6">
        <f>IF(B36="","",(M36="是")*2+(O36="是")*1+(N36="HDPlayer")*1+IF(R36="大",2,IF(R36="中",1,0))+(S36="有興趣")*2+OR(H36="個人開發者",H36="沒有軟體")*2)</f>
        <v/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6">
        <f>IF(B37="","",(M37="是")*2+(O37="是")*1+(N37="HDPlayer")*1+IF(R37="大",2,IF(R37="中",1,0))+(S37="有興趣")*2+OR(H37="個人開發者",H37="沒有軟體")*2)</f>
        <v/>
      </c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6">
        <f>IF(B38="","",(M38="是")*2+(O38="是")*1+(N38="HDPlayer")*1+IF(R38="大",2,IF(R38="中",1,0))+(S38="有興趣")*2+OR(H38="個人開發者",H38="沒有軟體")*2)</f>
        <v/>
      </c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6">
        <f>IF(B39="","",(M39="是")*2+(O39="是")*1+(N39="HDPlayer")*1+IF(R39="大",2,IF(R39="中",1,0))+(S39="有興趣")*2+OR(H39="個人開發者",H39="沒有軟體")*2)</f>
        <v/>
      </c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6">
        <f>IF(B40="","",(M40="是")*2+(O40="是")*1+(N40="HDPlayer")*1+IF(R40="大",2,IF(R40="中",1,0))+(S40="有興趣")*2+OR(H40="個人開發者",H40="沒有軟體")*2)</f>
        <v/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6">
        <f>IF(B41="","",(M41="是")*2+(O41="是")*1+(N41="HDPlayer")*1+IF(R41="大",2,IF(R41="中",1,0))+(S41="有興趣")*2+OR(H41="個人開發者",H41="沒有軟體")*2)</f>
        <v/>
      </c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6">
        <f>IF(B42="","",(M42="是")*2+(O42="是")*1+(N42="HDPlayer")*1+IF(R42="大",2,IF(R42="中",1,0))+(S42="有興趣")*2+OR(H42="個人開發者",H42="沒有軟體")*2)</f>
        <v/>
      </c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6">
        <f>IF(B43="","",(M43="是")*2+(O43="是")*1+(N43="HDPlayer")*1+IF(R43="大",2,IF(R43="中",1,0))+(S43="有興趣")*2+OR(H43="個人開發者",H43="沒有軟體")*2)</f>
        <v/>
      </c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6">
        <f>IF(B44="","",(M44="是")*2+(O44="是")*1+(N44="HDPlayer")*1+IF(R44="大",2,IF(R44="中",1,0))+(S44="有興趣")*2+OR(H44="個人開發者",H44="沒有軟體")*2)</f>
        <v/>
      </c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6">
        <f>IF(B45="","",(M45="是")*2+(O45="是")*1+(N45="HDPlayer")*1+IF(R45="大",2,IF(R45="中",1,0))+(S45="有興趣")*2+OR(H45="個人開發者",H45="沒有軟體")*2)</f>
        <v/>
      </c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6">
        <f>IF(B46="","",(M46="是")*2+(O46="是")*1+(N46="HDPlayer")*1+IF(R46="大",2,IF(R46="中",1,0))+(S46="有興趣")*2+OR(H46="個人開發者",H46="沒有軟體")*2)</f>
        <v/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6">
        <f>IF(B47="","",(M47="是")*2+(O47="是")*1+(N47="HDPlayer")*1+IF(R47="大",2,IF(R47="中",1,0))+(S47="有興趣")*2+OR(H47="個人開發者",H47="沒有軟體")*2)</f>
        <v/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6">
        <f>IF(B48="","",(M48="是")*2+(O48="是")*1+(N48="HDPlayer")*1+IF(R48="大",2,IF(R48="中",1,0))+(S48="有興趣")*2+OR(H48="個人開發者",H48="沒有軟體")*2)</f>
        <v/>
      </c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6">
        <f>IF(B49="","",(M49="是")*2+(O49="是")*1+(N49="HDPlayer")*1+IF(R49="大",2,IF(R49="中",1,0))+(S49="有興趣")*2+OR(H49="個人開發者",H49="沒有軟體")*2)</f>
        <v/>
      </c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6">
        <f>IF(B50="","",(M50="是")*2+(O50="是")*1+(N50="HDPlayer")*1+IF(R50="大",2,IF(R50="中",1,0))+(S50="有興趣")*2+OR(H50="個人開發者",H50="沒有軟體")*2)</f>
        <v/>
      </c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6">
        <f>IF(B51="","",(M51="是")*2+(O51="是")*1+(N51="HDPlayer")*1+IF(R51="大",2,IF(R51="中",1,0))+(S51="有興趣")*2+OR(H51="個人開發者",H51="沒有軟體")*2)</f>
        <v/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6">
        <f>IF(B52="","",(M52="是")*2+(O52="是")*1+(N52="HDPlayer")*1+IF(R52="大",2,IF(R52="中",1,0))+(S52="有興趣")*2+OR(H52="個人開發者",H52="沒有軟體")*2)</f>
        <v/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6">
        <f>IF(B53="","",(M53="是")*2+(O53="是")*1+(N53="HDPlayer")*1+IF(R53="大",2,IF(R53="中",1,0))+(S53="有興趣")*2+OR(H53="個人開發者",H53="沒有軟體")*2)</f>
        <v/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6">
        <f>IF(B54="","",(M54="是")*2+(O54="是")*1+(N54="HDPlayer")*1+IF(R54="大",2,IF(R54="中",1,0))+(S54="有興趣")*2+OR(H54="個人開發者",H54="沒有軟體")*2)</f>
        <v/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6">
        <f>IF(B55="","",(M55="是")*2+(O55="是")*1+(N55="HDPlayer")*1+IF(R55="大",2,IF(R55="中",1,0))+(S55="有興趣")*2+OR(H55="個人開發者",H55="沒有軟體")*2)</f>
        <v/>
      </c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6">
        <f>IF(B56="","",(M56="是")*2+(O56="是")*1+(N56="HDPlayer")*1+IF(R56="大",2,IF(R56="中",1,0))+(S56="有興趣")*2+OR(H56="個人開發者",H56="沒有軟體")*2)</f>
        <v/>
      </c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6">
        <f>IF(B57="","",(M57="是")*2+(O57="是")*1+(N57="HDPlayer")*1+IF(R57="大",2,IF(R57="中",1,0))+(S57="有興趣")*2+OR(H57="個人開發者",H57="沒有軟體")*2)</f>
        <v/>
      </c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6">
        <f>IF(B58="","",(M58="是")*2+(O58="是")*1+(N58="HDPlayer")*1+IF(R58="大",2,IF(R58="中",1,0))+(S58="有興趣")*2+OR(H58="個人開發者",H58="沒有軟體")*2)</f>
        <v/>
      </c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6">
        <f>IF(B59="","",(M59="是")*2+(O59="是")*1+(N59="HDPlayer")*1+IF(R59="大",2,IF(R59="中",1,0))+(S59="有興趣")*2+OR(H59="個人開發者",H59="沒有軟體")*2)</f>
        <v/>
      </c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6">
        <f>IF(B60="","",(M60="是")*2+(O60="是")*1+(N60="HDPlayer")*1+IF(R60="大",2,IF(R60="中",1,0))+(S60="有興趣")*2+OR(H60="個人開發者",H60="沒有軟體")*2)</f>
        <v/>
      </c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6">
        <f>IF(B61="","",(M61="是")*2+(O61="是")*1+(N61="HDPlayer")*1+IF(R61="大",2,IF(R61="中",1,0))+(S61="有興趣")*2+OR(H61="個人開發者",H61="沒有軟體")*2)</f>
        <v/>
      </c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6">
        <f>IF(B62="","",(M62="是")*2+(O62="是")*1+(N62="HDPlayer")*1+IF(R62="大",2,IF(R62="中",1,0))+(S62="有興趣")*2+OR(H62="個人開發者",H62="沒有軟體")*2)</f>
        <v/>
      </c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6">
        <f>IF(B63="","",(M63="是")*2+(O63="是")*1+(N63="HDPlayer")*1+IF(R63="大",2,IF(R63="中",1,0))+(S63="有興趣")*2+OR(H63="個人開發者",H63="沒有軟體")*2)</f>
        <v/>
      </c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6">
        <f>IF(B64="","",(M64="是")*2+(O64="是")*1+(N64="HDPlayer")*1+IF(R64="大",2,IF(R64="中",1,0))+(S64="有興趣")*2+OR(H64="個人開發者",H64="沒有軟體")*2)</f>
        <v/>
      </c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6">
        <f>IF(B65="","",(M65="是")*2+(O65="是")*1+(N65="HDPlayer")*1+IF(R65="大",2,IF(R65="中",1,0))+(S65="有興趣")*2+OR(H65="個人開發者",H65="沒有軟體")*2)</f>
        <v/>
      </c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6">
        <f>IF(B66="","",(M66="是")*2+(O66="是")*1+(N66="HDPlayer")*1+IF(R66="大",2,IF(R66="中",1,0))+(S66="有興趣")*2+OR(H66="個人開發者",H66="沒有軟體")*2)</f>
        <v/>
      </c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6">
        <f>IF(B67="","",(M67="是")*2+(O67="是")*1+(N67="HDPlayer")*1+IF(R67="大",2,IF(R67="中",1,0))+(S67="有興趣")*2+OR(H67="個人開發者",H67="沒有軟體")*2)</f>
        <v/>
      </c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6">
        <f>IF(B68="","",(M68="是")*2+(O68="是")*1+(N68="HDPlayer")*1+IF(R68="大",2,IF(R68="中",1,0))+(S68="有興趣")*2+OR(H68="個人開發者",H68="沒有軟體")*2)</f>
        <v/>
      </c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6">
        <f>IF(B69="","",(M69="是")*2+(O69="是")*1+(N69="HDPlayer")*1+IF(R69="大",2,IF(R69="中",1,0))+(S69="有興趣")*2+OR(H69="個人開發者",H69="沒有軟體")*2)</f>
        <v/>
      </c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6">
        <f>IF(B70="","",(M70="是")*2+(O70="是")*1+(N70="HDPlayer")*1+IF(R70="大",2,IF(R70="中",1,0))+(S70="有興趣")*2+OR(H70="個人開發者",H70="沒有軟體")*2)</f>
        <v/>
      </c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6">
        <f>IF(B71="","",(M71="是")*2+(O71="是")*1+(N71="HDPlayer")*1+IF(R71="大",2,IF(R71="中",1,0))+(S71="有興趣")*2+OR(H71="個人開發者",H71="沒有軟體")*2)</f>
        <v/>
      </c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6">
        <f>IF(B72="","",(M72="是")*2+(O72="是")*1+(N72="HDPlayer")*1+IF(R72="大",2,IF(R72="中",1,0))+(S72="有興趣")*2+OR(H72="個人開發者",H72="沒有軟體")*2)</f>
        <v/>
      </c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6">
        <f>IF(B73="","",(M73="是")*2+(O73="是")*1+(N73="HDPlayer")*1+IF(R73="大",2,IF(R73="中",1,0))+(S73="有興趣")*2+OR(H73="個人開發者",H73="沒有軟體")*2)</f>
        <v/>
      </c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6">
        <f>IF(B74="","",(M74="是")*2+(O74="是")*1+(N74="HDPlayer")*1+IF(R74="大",2,IF(R74="中",1,0))+(S74="有興趣")*2+OR(H74="個人開發者",H74="沒有軟體")*2)</f>
        <v/>
      </c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6">
        <f>IF(B75="","",(M75="是")*2+(O75="是")*1+(N75="HDPlayer")*1+IF(R75="大",2,IF(R75="中",1,0))+(S75="有興趣")*2+OR(H75="個人開發者",H75="沒有軟體")*2)</f>
        <v/>
      </c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6">
        <f>IF(B76="","",(M76="是")*2+(O76="是")*1+(N76="HDPlayer")*1+IF(R76="大",2,IF(R76="中",1,0))+(S76="有興趣")*2+OR(H76="個人開發者",H76="沒有軟體")*2)</f>
        <v/>
      </c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6">
        <f>IF(B77="","",(M77="是")*2+(O77="是")*1+(N77="HDPlayer")*1+IF(R77="大",2,IF(R77="中",1,0))+(S77="有興趣")*2+OR(H77="個人開發者",H77="沒有軟體")*2)</f>
        <v/>
      </c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6">
        <f>IF(B78="","",(M78="是")*2+(O78="是")*1+(N78="HDPlayer")*1+IF(R78="大",2,IF(R78="中",1,0))+(S78="有興趣")*2+OR(H78="個人開發者",H78="沒有軟體")*2)</f>
        <v/>
      </c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6">
        <f>IF(B79="","",(M79="是")*2+(O79="是")*1+(N79="HDPlayer")*1+IF(R79="大",2,IF(R79="中",1,0))+(S79="有興趣")*2+OR(H79="個人開發者",H79="沒有軟體")*2)</f>
        <v/>
      </c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6">
        <f>IF(B80="","",(M80="是")*2+(O80="是")*1+(N80="HDPlayer")*1+IF(R80="大",2,IF(R80="中",1,0))+(S80="有興趣")*2+OR(H80="個人開發者",H80="沒有軟體")*2)</f>
        <v/>
      </c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6">
        <f>IF(B81="","",(M81="是")*2+(O81="是")*1+(N81="HDPlayer")*1+IF(R81="大",2,IF(R81="中",1,0))+(S81="有興趣")*2+OR(H81="個人開發者",H81="沒有軟體")*2)</f>
        <v/>
      </c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6">
        <f>IF(B82="","",(M82="是")*2+(O82="是")*1+(N82="HDPlayer")*1+IF(R82="大",2,IF(R82="中",1,0))+(S82="有興趣")*2+OR(H82="個人開發者",H82="沒有軟體")*2)</f>
        <v/>
      </c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6">
        <f>IF(B83="","",(M83="是")*2+(O83="是")*1+(N83="HDPlayer")*1+IF(R83="大",2,IF(R83="中",1,0))+(S83="有興趣")*2+OR(H83="個人開發者",H83="沒有軟體")*2)</f>
        <v/>
      </c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6">
        <f>IF(B84="","",(M84="是")*2+(O84="是")*1+(N84="HDPlayer")*1+IF(R84="大",2,IF(R84="中",1,0))+(S84="有興趣")*2+OR(H84="個人開發者",H84="沒有軟體")*2)</f>
        <v/>
      </c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6">
        <f>IF(B85="","",(M85="是")*2+(O85="是")*1+(N85="HDPlayer")*1+IF(R85="大",2,IF(R85="中",1,0))+(S85="有興趣")*2+OR(H85="個人開發者",H85="沒有軟體")*2)</f>
        <v/>
      </c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6">
        <f>IF(B86="","",(M86="是")*2+(O86="是")*1+(N86="HDPlayer")*1+IF(R86="大",2,IF(R86="中",1,0))+(S86="有興趣")*2+OR(H86="個人開發者",H86="沒有軟體")*2)</f>
        <v/>
      </c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6">
        <f>IF(B87="","",(M87="是")*2+(O87="是")*1+(N87="HDPlayer")*1+IF(R87="大",2,IF(R87="中",1,0))+(S87="有興趣")*2+OR(H87="個人開發者",H87="沒有軟體")*2)</f>
        <v/>
      </c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6">
        <f>IF(B88="","",(M88="是")*2+(O88="是")*1+(N88="HDPlayer")*1+IF(R88="大",2,IF(R88="中",1,0))+(S88="有興趣")*2+OR(H88="個人開發者",H88="沒有軟體")*2)</f>
        <v/>
      </c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6">
        <f>IF(B89="","",(M89="是")*2+(O89="是")*1+(N89="HDPlayer")*1+IF(R89="大",2,IF(R89="中",1,0))+(S89="有興趣")*2+OR(H89="個人開發者",H89="沒有軟體")*2)</f>
        <v/>
      </c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6">
        <f>IF(B90="","",(M90="是")*2+(O90="是")*1+(N90="HDPlayer")*1+IF(R90="大",2,IF(R90="中",1,0))+(S90="有興趣")*2+OR(H90="個人開發者",H90="沒有軟體")*2)</f>
        <v/>
      </c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6">
        <f>IF(B91="","",(M91="是")*2+(O91="是")*1+(N91="HDPlayer")*1+IF(R91="大",2,IF(R91="中",1,0))+(S91="有興趣")*2+OR(H91="個人開發者",H91="沒有軟體")*2)</f>
        <v/>
      </c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6">
        <f>IF(B92="","",(M92="是")*2+(O92="是")*1+(N92="HDPlayer")*1+IF(R92="大",2,IF(R92="中",1,0))+(S92="有興趣")*2+OR(H92="個人開發者",H92="沒有軟體")*2)</f>
        <v/>
      </c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6">
        <f>IF(B93="","",(M93="是")*2+(O93="是")*1+(N93="HDPlayer")*1+IF(R93="大",2,IF(R93="中",1,0))+(S93="有興趣")*2+OR(H93="個人開發者",H93="沒有軟體")*2)</f>
        <v/>
      </c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6">
        <f>IF(B94="","",(M94="是")*2+(O94="是")*1+(N94="HDPlayer")*1+IF(R94="大",2,IF(R94="中",1,0))+(S94="有興趣")*2+OR(H94="個人開發者",H94="沒有軟體")*2)</f>
        <v/>
      </c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6">
        <f>IF(B95="","",(M95="是")*2+(O95="是")*1+(N95="HDPlayer")*1+IF(R95="大",2,IF(R95="中",1,0))+(S95="有興趣")*2+OR(H95="個人開發者",H95="沒有軟體")*2)</f>
        <v/>
      </c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6">
        <f>IF(B96="","",(M96="是")*2+(O96="是")*1+(N96="HDPlayer")*1+IF(R96="大",2,IF(R96="中",1,0))+(S96="有興趣")*2+OR(H96="個人開發者",H96="沒有軟體")*2)</f>
        <v/>
      </c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6">
        <f>IF(B97="","",(M97="是")*2+(O97="是")*1+(N97="HDPlayer")*1+IF(R97="大",2,IF(R97="中",1,0))+(S97="有興趣")*2+OR(H97="個人開發者",H97="沒有軟體")*2)</f>
        <v/>
      </c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6">
        <f>IF(B98="","",(M98="是")*2+(O98="是")*1+(N98="HDPlayer")*1+IF(R98="大",2,IF(R98="中",1,0))+(S98="有興趣")*2+OR(H98="個人開發者",H98="沒有軟體")*2)</f>
        <v/>
      </c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6">
        <f>IF(B99="","",(M99="是")*2+(O99="是")*1+(N99="HDPlayer")*1+IF(R99="大",2,IF(R99="中",1,0))+(S99="有興趣")*2+OR(H99="個人開發者",H99="沒有軟體")*2)</f>
        <v/>
      </c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6">
        <f>IF(B100="","",(M100="是")*2+(O100="是")*1+(N100="HDPlayer")*1+IF(R100="大",2,IF(R100="中",1,0))+(S100="有興趣")*2+OR(H100="個人開發者",H100="沒有軟體")*2)</f>
        <v/>
      </c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6">
        <f>IF(B101="","",(M101="是")*2+(O101="是")*1+(N101="HDPlayer")*1+IF(R101="大",2,IF(R101="中",1,0))+(S101="有興趣")*2+OR(H101="個人開發者",H101="沒有軟體")*2)</f>
        <v/>
      </c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6">
        <f>IF(B102="","",(M102="是")*2+(O102="是")*1+(N102="HDPlayer")*1+IF(R102="大",2,IF(R102="中",1,0))+(S102="有興趣")*2+OR(H102="個人開發者",H102="沒有軟體")*2)</f>
        <v/>
      </c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6">
        <f>IF(B103="","",(M103="是")*2+(O103="是")*1+(N103="HDPlayer")*1+IF(R103="大",2,IF(R103="中",1,0))+(S103="有興趣")*2+OR(H103="個人開發者",H103="沒有軟體")*2)</f>
        <v/>
      </c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6">
        <f>IF(B104="","",(M104="是")*2+(O104="是")*1+(N104="HDPlayer")*1+IF(R104="大",2,IF(R104="中",1,0))+(S104="有興趣")*2+OR(H104="個人開發者",H104="沒有軟體")*2)</f>
        <v/>
      </c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6">
        <f>IF(B105="","",(M105="是")*2+(O105="是")*1+(N105="HDPlayer")*1+IF(R105="大",2,IF(R105="中",1,0))+(S105="有興趣")*2+OR(H105="個人開發者",H105="沒有軟體")*2)</f>
        <v/>
      </c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6">
        <f>IF(B106="","",(M106="是")*2+(O106="是")*1+(N106="HDPlayer")*1+IF(R106="大",2,IF(R106="中",1,0))+(S106="有興趣")*2+OR(H106="個人開發者",H106="沒有軟體")*2)</f>
        <v/>
      </c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6">
        <f>IF(B107="","",(M107="是")*2+(O107="是")*1+(N107="HDPlayer")*1+IF(R107="大",2,IF(R107="中",1,0))+(S107="有興趣")*2+OR(H107="個人開發者",H107="沒有軟體")*2)</f>
        <v/>
      </c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6">
        <f>IF(B108="","",(M108="是")*2+(O108="是")*1+(N108="HDPlayer")*1+IF(R108="大",2,IF(R108="中",1,0))+(S108="有興趣")*2+OR(H108="個人開發者",H108="沒有軟體")*2)</f>
        <v/>
      </c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6">
        <f>IF(B109="","",(M109="是")*2+(O109="是")*1+(N109="HDPlayer")*1+IF(R109="大",2,IF(R109="中",1,0))+(S109="有興趣")*2+OR(H109="個人開發者",H109="沒有軟體")*2)</f>
        <v/>
      </c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6">
        <f>IF(B110="","",(M110="是")*2+(O110="是")*1+(N110="HDPlayer")*1+IF(R110="大",2,IF(R110="中",1,0))+(S110="有興趣")*2+OR(H110="個人開發者",H110="沒有軟體")*2)</f>
        <v/>
      </c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6">
        <f>IF(B111="","",(M111="是")*2+(O111="是")*1+(N111="HDPlayer")*1+IF(R111="大",2,IF(R111="中",1,0))+(S111="有興趣")*2+OR(H111="個人開發者",H111="沒有軟體")*2)</f>
        <v/>
      </c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6">
        <f>IF(B112="","",(M112="是")*2+(O112="是")*1+(N112="HDPlayer")*1+IF(R112="大",2,IF(R112="中",1,0))+(S112="有興趣")*2+OR(H112="個人開發者",H112="沒有軟體")*2)</f>
        <v/>
      </c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6">
        <f>IF(B113="","",(M113="是")*2+(O113="是")*1+(N113="HDPlayer")*1+IF(R113="大",2,IF(R113="中",1,0))+(S113="有興趣")*2+OR(H113="個人開發者",H113="沒有軟體")*2)</f>
        <v/>
      </c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6">
        <f>IF(B114="","",(M114="是")*2+(O114="是")*1+(N114="HDPlayer")*1+IF(R114="大",2,IF(R114="中",1,0))+(S114="有興趣")*2+OR(H114="個人開發者",H114="沒有軟體")*2)</f>
        <v/>
      </c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6">
        <f>IF(B115="","",(M115="是")*2+(O115="是")*1+(N115="HDPlayer")*1+IF(R115="大",2,IF(R115="中",1,0))+(S115="有興趣")*2+OR(H115="個人開發者",H115="沒有軟體")*2)</f>
        <v/>
      </c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6">
        <f>IF(B116="","",(M116="是")*2+(O116="是")*1+(N116="HDPlayer")*1+IF(R116="大",2,IF(R116="中",1,0))+(S116="有興趣")*2+OR(H116="個人開發者",H116="沒有軟體")*2)</f>
        <v/>
      </c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6">
        <f>IF(B117="","",(M117="是")*2+(O117="是")*1+(N117="HDPlayer")*1+IF(R117="大",2,IF(R117="中",1,0))+(S117="有興趣")*2+OR(H117="個人開發者",H117="沒有軟體")*2)</f>
        <v/>
      </c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6">
        <f>IF(B118="","",(M118="是")*2+(O118="是")*1+(N118="HDPlayer")*1+IF(R118="大",2,IF(R118="中",1,0))+(S118="有興趣")*2+OR(H118="個人開發者",H118="沒有軟體")*2)</f>
        <v/>
      </c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6">
        <f>IF(B119="","",(M119="是")*2+(O119="是")*1+(N119="HDPlayer")*1+IF(R119="大",2,IF(R119="中",1,0))+(S119="有興趣")*2+OR(H119="個人開發者",H119="沒有軟體")*2)</f>
        <v/>
      </c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6">
        <f>IF(B120="","",(M120="是")*2+(O120="是")*1+(N120="HDPlayer")*1+IF(R120="大",2,IF(R120="中",1,0))+(S120="有興趣")*2+OR(H120="個人開發者",H120="沒有軟體")*2)</f>
        <v/>
      </c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6">
        <f>IF(B121="","",(M121="是")*2+(O121="是")*1+(N121="HDPlayer")*1+IF(R121="大",2,IF(R121="中",1,0))+(S121="有興趣")*2+OR(H121="個人開發者",H121="沒有軟體")*2)</f>
        <v/>
      </c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6">
        <f>IF(B122="","",(M122="是")*2+(O122="是")*1+(N122="HDPlayer")*1+IF(R122="大",2,IF(R122="中",1,0))+(S122="有興趣")*2+OR(H122="個人開發者",H122="沒有軟體")*2)</f>
        <v/>
      </c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6">
        <f>IF(B123="","",(M123="是")*2+(O123="是")*1+(N123="HDPlayer")*1+IF(R123="大",2,IF(R123="中",1,0))+(S123="有興趣")*2+OR(H123="個人開發者",H123="沒有軟體")*2)</f>
        <v/>
      </c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6">
        <f>IF(B124="","",(M124="是")*2+(O124="是")*1+(N124="HDPlayer")*1+IF(R124="大",2,IF(R124="中",1,0))+(S124="有興趣")*2+OR(H124="個人開發者",H124="沒有軟體")*2)</f>
        <v/>
      </c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6">
        <f>IF(B125="","",(M125="是")*2+(O125="是")*1+(N125="HDPlayer")*1+IF(R125="大",2,IF(R125="中",1,0))+(S125="有興趣")*2+OR(H125="個人開發者",H125="沒有軟體")*2)</f>
        <v/>
      </c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6">
        <f>IF(B126="","",(M126="是")*2+(O126="是")*1+(N126="HDPlayer")*1+IF(R126="大",2,IF(R126="中",1,0))+(S126="有興趣")*2+OR(H126="個人開發者",H126="沒有軟體")*2)</f>
        <v/>
      </c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6">
        <f>IF(B127="","",(M127="是")*2+(O127="是")*1+(N127="HDPlayer")*1+IF(R127="大",2,IF(R127="中",1,0))+(S127="有興趣")*2+OR(H127="個人開發者",H127="沒有軟體")*2)</f>
        <v/>
      </c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6">
        <f>IF(B128="","",(M128="是")*2+(O128="是")*1+(N128="HDPlayer")*1+IF(R128="大",2,IF(R128="中",1,0))+(S128="有興趣")*2+OR(H128="個人開發者",H128="沒有軟體")*2)</f>
        <v/>
      </c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6">
        <f>IF(B129="","",(M129="是")*2+(O129="是")*1+(N129="HDPlayer")*1+IF(R129="大",2,IF(R129="中",1,0))+(S129="有興趣")*2+OR(H129="個人開發者",H129="沒有軟體")*2)</f>
        <v/>
      </c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6">
        <f>IF(B130="","",(M130="是")*2+(O130="是")*1+(N130="HDPlayer")*1+IF(R130="大",2,IF(R130="中",1,0))+(S130="有興趣")*2+OR(H130="個人開發者",H130="沒有軟體")*2)</f>
        <v/>
      </c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6">
        <f>IF(B131="","",(M131="是")*2+(O131="是")*1+(N131="HDPlayer")*1+IF(R131="大",2,IF(R131="中",1,0))+(S131="有興趣")*2+OR(H131="個人開發者",H131="沒有軟體")*2)</f>
        <v/>
      </c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6">
        <f>IF(B132="","",(M132="是")*2+(O132="是")*1+(N132="HDPlayer")*1+IF(R132="大",2,IF(R132="中",1,0))+(S132="有興趣")*2+OR(H132="個人開發者",H132="沒有軟體")*2)</f>
        <v/>
      </c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6">
        <f>IF(B133="","",(M133="是")*2+(O133="是")*1+(N133="HDPlayer")*1+IF(R133="大",2,IF(R133="中",1,0))+(S133="有興趣")*2+OR(H133="個人開發者",H133="沒有軟體")*2)</f>
        <v/>
      </c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6">
        <f>IF(B134="","",(M134="是")*2+(O134="是")*1+(N134="HDPlayer")*1+IF(R134="大",2,IF(R134="中",1,0))+(S134="有興趣")*2+OR(H134="個人開發者",H134="沒有軟體")*2)</f>
        <v/>
      </c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6">
        <f>IF(B135="","",(M135="是")*2+(O135="是")*1+(N135="HDPlayer")*1+IF(R135="大",2,IF(R135="中",1,0))+(S135="有興趣")*2+OR(H135="個人開發者",H135="沒有軟體")*2)</f>
        <v/>
      </c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6">
        <f>IF(B136="","",(M136="是")*2+(O136="是")*1+(N136="HDPlayer")*1+IF(R136="大",2,IF(R136="中",1,0))+(S136="有興趣")*2+OR(H136="個人開發者",H136="沒有軟體")*2)</f>
        <v/>
      </c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6">
        <f>IF(B137="","",(M137="是")*2+(O137="是")*1+(N137="HDPlayer")*1+IF(R137="大",2,IF(R137="中",1,0))+(S137="有興趣")*2+OR(H137="個人開發者",H137="沒有軟體")*2)</f>
        <v/>
      </c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6">
        <f>IF(B138="","",(M138="是")*2+(O138="是")*1+(N138="HDPlayer")*1+IF(R138="大",2,IF(R138="中",1,0))+(S138="有興趣")*2+OR(H138="個人開發者",H138="沒有軟體")*2)</f>
        <v/>
      </c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6">
        <f>IF(B139="","",(M139="是")*2+(O139="是")*1+(N139="HDPlayer")*1+IF(R139="大",2,IF(R139="中",1,0))+(S139="有興趣")*2+OR(H139="個人開發者",H139="沒有軟體")*2)</f>
        <v/>
      </c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6">
        <f>IF(B140="","",(M140="是")*2+(O140="是")*1+(N140="HDPlayer")*1+IF(R140="大",2,IF(R140="中",1,0))+(S140="有興趣")*2+OR(H140="個人開發者",H140="沒有軟體")*2)</f>
        <v/>
      </c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6">
        <f>IF(B141="","",(M141="是")*2+(O141="是")*1+(N141="HDPlayer")*1+IF(R141="大",2,IF(R141="中",1,0))+(S141="有興趣")*2+OR(H141="個人開發者",H141="沒有軟體")*2)</f>
        <v/>
      </c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6">
        <f>IF(B142="","",(M142="是")*2+(O142="是")*1+(N142="HDPlayer")*1+IF(R142="大",2,IF(R142="中",1,0))+(S142="有興趣")*2+OR(H142="個人開發者",H142="沒有軟體")*2)</f>
        <v/>
      </c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6">
        <f>IF(B143="","",(M143="是")*2+(O143="是")*1+(N143="HDPlayer")*1+IF(R143="大",2,IF(R143="中",1,0))+(S143="有興趣")*2+OR(H143="個人開發者",H143="沒有軟體")*2)</f>
        <v/>
      </c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6">
        <f>IF(B144="","",(M144="是")*2+(O144="是")*1+(N144="HDPlayer")*1+IF(R144="大",2,IF(R144="中",1,0))+(S144="有興趣")*2+OR(H144="個人開發者",H144="沒有軟體")*2)</f>
        <v/>
      </c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6">
        <f>IF(B145="","",(M145="是")*2+(O145="是")*1+(N145="HDPlayer")*1+IF(R145="大",2,IF(R145="中",1,0))+(S145="有興趣")*2+OR(H145="個人開發者",H145="沒有軟體")*2)</f>
        <v/>
      </c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6">
        <f>IF(B146="","",(M146="是")*2+(O146="是")*1+(N146="HDPlayer")*1+IF(R146="大",2,IF(R146="中",1,0))+(S146="有興趣")*2+OR(H146="個人開發者",H146="沒有軟體")*2)</f>
        <v/>
      </c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6">
        <f>IF(B147="","",(M147="是")*2+(O147="是")*1+(N147="HDPlayer")*1+IF(R147="大",2,IF(R147="中",1,0))+(S147="有興趣")*2+OR(H147="個人開發者",H147="沒有軟體")*2)</f>
        <v/>
      </c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6">
        <f>IF(B148="","",(M148="是")*2+(O148="是")*1+(N148="HDPlayer")*1+IF(R148="大",2,IF(R148="中",1,0))+(S148="有興趣")*2+OR(H148="個人開發者",H148="沒有軟體")*2)</f>
        <v/>
      </c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6">
        <f>IF(B149="","",(M149="是")*2+(O149="是")*1+(N149="HDPlayer")*1+IF(R149="大",2,IF(R149="中",1,0))+(S149="有興趣")*2+OR(H149="個人開發者",H149="沒有軟體")*2)</f>
        <v/>
      </c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6">
        <f>IF(B150="","",(M150="是")*2+(O150="是")*1+(N150="HDPlayer")*1+IF(R150="大",2,IF(R150="中",1,0))+(S150="有興趣")*2+OR(H150="個人開發者",H150="沒有軟體")*2)</f>
        <v/>
      </c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6">
        <f>IF(B151="","",(M151="是")*2+(O151="是")*1+(N151="HDPlayer")*1+IF(R151="大",2,IF(R151="中",1,0))+(S151="有興趣")*2+OR(H151="個人開發者",H151="沒有軟體")*2)</f>
        <v/>
      </c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6">
        <f>IF(B152="","",(M152="是")*2+(O152="是")*1+(N152="HDPlayer")*1+IF(R152="大",2,IF(R152="中",1,0))+(S152="有興趣")*2+OR(H152="個人開發者",H152="沒有軟體")*2)</f>
        <v/>
      </c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6">
        <f>IF(B153="","",(M153="是")*2+(O153="是")*1+(N153="HDPlayer")*1+IF(R153="大",2,IF(R153="中",1,0))+(S153="有興趣")*2+OR(H153="個人開發者",H153="沒有軟體")*2)</f>
        <v/>
      </c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6">
        <f>IF(B154="","",(M154="是")*2+(O154="是")*1+(N154="HDPlayer")*1+IF(R154="大",2,IF(R154="中",1,0))+(S154="有興趣")*2+OR(H154="個人開發者",H154="沒有軟體")*2)</f>
        <v/>
      </c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6">
        <f>IF(B155="","",(M155="是")*2+(O155="是")*1+(N155="HDPlayer")*1+IF(R155="大",2,IF(R155="中",1,0))+(S155="有興趣")*2+OR(H155="個人開發者",H155="沒有軟體")*2)</f>
        <v/>
      </c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6">
        <f>IF(B156="","",(M156="是")*2+(O156="是")*1+(N156="HDPlayer")*1+IF(R156="大",2,IF(R156="中",1,0))+(S156="有興趣")*2+OR(H156="個人開發者",H156="沒有軟體")*2)</f>
        <v/>
      </c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6">
        <f>IF(B157="","",(M157="是")*2+(O157="是")*1+(N157="HDPlayer")*1+IF(R157="大",2,IF(R157="中",1,0))+(S157="有興趣")*2+OR(H157="個人開發者",H157="沒有軟體")*2)</f>
        <v/>
      </c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6">
        <f>IF(B158="","",(M158="是")*2+(O158="是")*1+(N158="HDPlayer")*1+IF(R158="大",2,IF(R158="中",1,0))+(S158="有興趣")*2+OR(H158="個人開發者",H158="沒有軟體")*2)</f>
        <v/>
      </c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6">
        <f>IF(B159="","",(M159="是")*2+(O159="是")*1+(N159="HDPlayer")*1+IF(R159="大",2,IF(R159="中",1,0))+(S159="有興趣")*2+OR(H159="個人開發者",H159="沒有軟體")*2)</f>
        <v/>
      </c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6">
        <f>IF(B160="","",(M160="是")*2+(O160="是")*1+(N160="HDPlayer")*1+IF(R160="大",2,IF(R160="中",1,0))+(S160="有興趣")*2+OR(H160="個人開發者",H160="沒有軟體")*2)</f>
        <v/>
      </c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6">
        <f>IF(B161="","",(M161="是")*2+(O161="是")*1+(N161="HDPlayer")*1+IF(R161="大",2,IF(R161="中",1,0))+(S161="有興趣")*2+OR(H161="個人開發者",H161="沒有軟體")*2)</f>
        <v/>
      </c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6">
        <f>IF(B162="","",(M162="是")*2+(O162="是")*1+(N162="HDPlayer")*1+IF(R162="大",2,IF(R162="中",1,0))+(S162="有興趣")*2+OR(H162="個人開發者",H162="沒有軟體")*2)</f>
        <v/>
      </c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6">
        <f>IF(B163="","",(M163="是")*2+(O163="是")*1+(N163="HDPlayer")*1+IF(R163="大",2,IF(R163="中",1,0))+(S163="有興趣")*2+OR(H163="個人開發者",H163="沒有軟體")*2)</f>
        <v/>
      </c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6">
        <f>IF(B164="","",(M164="是")*2+(O164="是")*1+(N164="HDPlayer")*1+IF(R164="大",2,IF(R164="中",1,0))+(S164="有興趣")*2+OR(H164="個人開發者",H164="沒有軟體")*2)</f>
        <v/>
      </c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6">
        <f>IF(B165="","",(M165="是")*2+(O165="是")*1+(N165="HDPlayer")*1+IF(R165="大",2,IF(R165="中",1,0))+(S165="有興趣")*2+OR(H165="個人開發者",H165="沒有軟體")*2)</f>
        <v/>
      </c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6">
        <f>IF(B166="","",(M166="是")*2+(O166="是")*1+(N166="HDPlayer")*1+IF(R166="大",2,IF(R166="中",1,0))+(S166="有興趣")*2+OR(H166="個人開發者",H166="沒有軟體")*2)</f>
        <v/>
      </c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6">
        <f>IF(B167="","",(M167="是")*2+(O167="是")*1+(N167="HDPlayer")*1+IF(R167="大",2,IF(R167="中",1,0))+(S167="有興趣")*2+OR(H167="個人開發者",H167="沒有軟體")*2)</f>
        <v/>
      </c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6">
        <f>IF(B168="","",(M168="是")*2+(O168="是")*1+(N168="HDPlayer")*1+IF(R168="大",2,IF(R168="中",1,0))+(S168="有興趣")*2+OR(H168="個人開發者",H168="沒有軟體")*2)</f>
        <v/>
      </c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6">
        <f>IF(B169="","",(M169="是")*2+(O169="是")*1+(N169="HDPlayer")*1+IF(R169="大",2,IF(R169="中",1,0))+(S169="有興趣")*2+OR(H169="個人開發者",H169="沒有軟體")*2)</f>
        <v/>
      </c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6">
        <f>IF(B170="","",(M170="是")*2+(O170="是")*1+(N170="HDPlayer")*1+IF(R170="大",2,IF(R170="中",1,0))+(S170="有興趣")*2+OR(H170="個人開發者",H170="沒有軟體")*2)</f>
        <v/>
      </c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6">
        <f>IF(B171="","",(M171="是")*2+(O171="是")*1+(N171="HDPlayer")*1+IF(R171="大",2,IF(R171="中",1,0))+(S171="有興趣")*2+OR(H171="個人開發者",H171="沒有軟體")*2)</f>
        <v/>
      </c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6">
        <f>IF(B172="","",(M172="是")*2+(O172="是")*1+(N172="HDPlayer")*1+IF(R172="大",2,IF(R172="中",1,0))+(S172="有興趣")*2+OR(H172="個人開發者",H172="沒有軟體")*2)</f>
        <v/>
      </c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6">
        <f>IF(B173="","",(M173="是")*2+(O173="是")*1+(N173="HDPlayer")*1+IF(R173="大",2,IF(R173="中",1,0))+(S173="有興趣")*2+OR(H173="個人開發者",H173="沒有軟體")*2)</f>
        <v/>
      </c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6">
        <f>IF(B174="","",(M174="是")*2+(O174="是")*1+(N174="HDPlayer")*1+IF(R174="大",2,IF(R174="中",1,0))+(S174="有興趣")*2+OR(H174="個人開發者",H174="沒有軟體")*2)</f>
        <v/>
      </c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6">
        <f>IF(B175="","",(M175="是")*2+(O175="是")*1+(N175="HDPlayer")*1+IF(R175="大",2,IF(R175="中",1,0))+(S175="有興趣")*2+OR(H175="個人開發者",H175="沒有軟體")*2)</f>
        <v/>
      </c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6">
        <f>IF(B176="","",(M176="是")*2+(O176="是")*1+(N176="HDPlayer")*1+IF(R176="大",2,IF(R176="中",1,0))+(S176="有興趣")*2+OR(H176="個人開發者",H176="沒有軟體")*2)</f>
        <v/>
      </c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6">
        <f>IF(B177="","",(M177="是")*2+(O177="是")*1+(N177="HDPlayer")*1+IF(R177="大",2,IF(R177="中",1,0))+(S177="有興趣")*2+OR(H177="個人開發者",H177="沒有軟體")*2)</f>
        <v/>
      </c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6">
        <f>IF(B178="","",(M178="是")*2+(O178="是")*1+(N178="HDPlayer")*1+IF(R178="大",2,IF(R178="中",1,0))+(S178="有興趣")*2+OR(H178="個人開發者",H178="沒有軟體")*2)</f>
        <v/>
      </c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6">
        <f>IF(B179="","",(M179="是")*2+(O179="是")*1+(N179="HDPlayer")*1+IF(R179="大",2,IF(R179="中",1,0))+(S179="有興趣")*2+OR(H179="個人開發者",H179="沒有軟體")*2)</f>
        <v/>
      </c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6">
        <f>IF(B180="","",(M180="是")*2+(O180="是")*1+(N180="HDPlayer")*1+IF(R180="大",2,IF(R180="中",1,0))+(S180="有興趣")*2+OR(H180="個人開發者",H180="沒有軟體")*2)</f>
        <v/>
      </c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6">
        <f>IF(B181="","",(M181="是")*2+(O181="是")*1+(N181="HDPlayer")*1+IF(R181="大",2,IF(R181="中",1,0))+(S181="有興趣")*2+OR(H181="個人開發者",H181="沒有軟體")*2)</f>
        <v/>
      </c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6">
        <f>IF(B182="","",(M182="是")*2+(O182="是")*1+(N182="HDPlayer")*1+IF(R182="大",2,IF(R182="中",1,0))+(S182="有興趣")*2+OR(H182="個人開發者",H182="沒有軟體")*2)</f>
        <v/>
      </c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6">
        <f>IF(B183="","",(M183="是")*2+(O183="是")*1+(N183="HDPlayer")*1+IF(R183="大",2,IF(R183="中",1,0))+(S183="有興趣")*2+OR(H183="個人開發者",H183="沒有軟體")*2)</f>
        <v/>
      </c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6">
        <f>IF(B184="","",(M184="是")*2+(O184="是")*1+(N184="HDPlayer")*1+IF(R184="大",2,IF(R184="中",1,0))+(S184="有興趣")*2+OR(H184="個人開發者",H184="沒有軟體")*2)</f>
        <v/>
      </c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6">
        <f>IF(B185="","",(M185="是")*2+(O185="是")*1+(N185="HDPlayer")*1+IF(R185="大",2,IF(R185="中",1,0))+(S185="有興趣")*2+OR(H185="個人開發者",H185="沒有軟體")*2)</f>
        <v/>
      </c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6">
        <f>IF(B186="","",(M186="是")*2+(O186="是")*1+(N186="HDPlayer")*1+IF(R186="大",2,IF(R186="中",1,0))+(S186="有興趣")*2+OR(H186="個人開發者",H186="沒有軟體")*2)</f>
        <v/>
      </c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6">
        <f>IF(B187="","",(M187="是")*2+(O187="是")*1+(N187="HDPlayer")*1+IF(R187="大",2,IF(R187="中",1,0))+(S187="有興趣")*2+OR(H187="個人開發者",H187="沒有軟體")*2)</f>
        <v/>
      </c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6">
        <f>IF(B188="","",(M188="是")*2+(O188="是")*1+(N188="HDPlayer")*1+IF(R188="大",2,IF(R188="中",1,0))+(S188="有興趣")*2+OR(H188="個人開發者",H188="沒有軟體")*2)</f>
        <v/>
      </c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6">
        <f>IF(B189="","",(M189="是")*2+(O189="是")*1+(N189="HDPlayer")*1+IF(R189="大",2,IF(R189="中",1,0))+(S189="有興趣")*2+OR(H189="個人開發者",H189="沒有軟體")*2)</f>
        <v/>
      </c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6">
        <f>IF(B190="","",(M190="是")*2+(O190="是")*1+(N190="HDPlayer")*1+IF(R190="大",2,IF(R190="中",1,0))+(S190="有興趣")*2+OR(H190="個人開發者",H190="沒有軟體")*2)</f>
        <v/>
      </c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6">
        <f>IF(B191="","",(M191="是")*2+(O191="是")*1+(N191="HDPlayer")*1+IF(R191="大",2,IF(R191="中",1,0))+(S191="有興趣")*2+OR(H191="個人開發者",H191="沒有軟體")*2)</f>
        <v/>
      </c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6">
        <f>IF(B192="","",(M192="是")*2+(O192="是")*1+(N192="HDPlayer")*1+IF(R192="大",2,IF(R192="中",1,0))+(S192="有興趣")*2+OR(H192="個人開發者",H192="沒有軟體")*2)</f>
        <v/>
      </c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6">
        <f>IF(B193="","",(M193="是")*2+(O193="是")*1+(N193="HDPlayer")*1+IF(R193="大",2,IF(R193="中",1,0))+(S193="有興趣")*2+OR(H193="個人開發者",H193="沒有軟體")*2)</f>
        <v/>
      </c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6">
        <f>IF(B194="","",(M194="是")*2+(O194="是")*1+(N194="HDPlayer")*1+IF(R194="大",2,IF(R194="中",1,0))+(S194="有興趣")*2+OR(H194="個人開發者",H194="沒有軟體")*2)</f>
        <v/>
      </c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6">
        <f>IF(B195="","",(M195="是")*2+(O195="是")*1+(N195="HDPlayer")*1+IF(R195="大",2,IF(R195="中",1,0))+(S195="有興趣")*2+OR(H195="個人開發者",H195="沒有軟體")*2)</f>
        <v/>
      </c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6">
        <f>IF(B196="","",(M196="是")*2+(O196="是")*1+(N196="HDPlayer")*1+IF(R196="大",2,IF(R196="中",1,0))+(S196="有興趣")*2+OR(H196="個人開發者",H196="沒有軟體")*2)</f>
        <v/>
      </c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6">
        <f>IF(B197="","",(M197="是")*2+(O197="是")*1+(N197="HDPlayer")*1+IF(R197="大",2,IF(R197="中",1,0))+(S197="有興趣")*2+OR(H197="個人開發者",H197="沒有軟體")*2)</f>
        <v/>
      </c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6">
        <f>IF(B198="","",(M198="是")*2+(O198="是")*1+(N198="HDPlayer")*1+IF(R198="大",2,IF(R198="中",1,0))+(S198="有興趣")*2+OR(H198="個人開發者",H198="沒有軟體")*2)</f>
        <v/>
      </c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6">
        <f>IF(B199="","",(M199="是")*2+(O199="是")*1+(N199="HDPlayer")*1+IF(R199="大",2,IF(R199="中",1,0))+(S199="有興趣")*2+OR(H199="個人開發者",H199="沒有軟體")*2)</f>
        <v/>
      </c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6">
        <f>IF(B200="","",(M200="是")*2+(O200="是")*1+(N200="HDPlayer")*1+IF(R200="大",2,IF(R200="中",1,0))+(S200="有興趣")*2+OR(H200="個人開發者",H200="沒有軟體")*2)</f>
        <v/>
      </c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6">
        <f>IF(B201="","",(M201="是")*2+(O201="是")*1+(N201="HDPlayer")*1+IF(R201="大",2,IF(R201="中",1,0))+(S201="有興趣")*2+OR(H201="個人開發者",H201="沒有軟體")*2)</f>
        <v/>
      </c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6">
        <f>IF(B202="","",(M202="是")*2+(O202="是")*1+(N202="HDPlayer")*1+IF(R202="大",2,IF(R202="中",1,0))+(S202="有興趣")*2+OR(H202="個人開發者",H202="沒有軟體")*2)</f>
        <v/>
      </c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6">
        <f>IF(B203="","",(M203="是")*2+(O203="是")*1+(N203="HDPlayer")*1+IF(R203="大",2,IF(R203="中",1,0))+(S203="有興趣")*2+OR(H203="個人開發者",H203="沒有軟體")*2)</f>
        <v/>
      </c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6">
        <f>IF(B204="","",(M204="是")*2+(O204="是")*1+(N204="HDPlayer")*1+IF(R204="大",2,IF(R204="中",1,0))+(S204="有興趣")*2+OR(H204="個人開發者",H204="沒有軟體")*2)</f>
        <v/>
      </c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6">
        <f>IF(B205="","",(M205="是")*2+(O205="是")*1+(N205="HDPlayer")*1+IF(R205="大",2,IF(R205="中",1,0))+(S205="有興趣")*2+OR(H205="個人開發者",H205="沒有軟體")*2)</f>
        <v/>
      </c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6">
        <f>IF(B206="","",(M206="是")*2+(O206="是")*1+(N206="HDPlayer")*1+IF(R206="大",2,IF(R206="中",1,0))+(S206="有興趣")*2+OR(H206="個人開發者",H206="沒有軟體")*2)</f>
        <v/>
      </c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6">
        <f>IF(B207="","",(M207="是")*2+(O207="是")*1+(N207="HDPlayer")*1+IF(R207="大",2,IF(R207="中",1,0))+(S207="有興趣")*2+OR(H207="個人開發者",H207="沒有軟體")*2)</f>
        <v/>
      </c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6">
        <f>IF(B208="","",(M208="是")*2+(O208="是")*1+(N208="HDPlayer")*1+IF(R208="大",2,IF(R208="中",1,0))+(S208="有興趣")*2+OR(H208="個人開發者",H208="沒有軟體")*2)</f>
        <v/>
      </c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6">
        <f>IF(B209="","",(M209="是")*2+(O209="是")*1+(N209="HDPlayer")*1+IF(R209="大",2,IF(R209="中",1,0))+(S209="有興趣")*2+OR(H209="個人開發者",H209="沒有軟體")*2)</f>
        <v/>
      </c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6">
        <f>IF(B210="","",(M210="是")*2+(O210="是")*1+(N210="HDPlayer")*1+IF(R210="大",2,IF(R210="中",1,0))+(S210="有興趣")*2+OR(H210="個人開發者",H210="沒有軟體")*2)</f>
        <v/>
      </c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6">
        <f>IF(B211="","",(M211="是")*2+(O211="是")*1+(N211="HDPlayer")*1+IF(R211="大",2,IF(R211="中",1,0))+(S211="有興趣")*2+OR(H211="個人開發者",H211="沒有軟體")*2)</f>
        <v/>
      </c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6">
        <f>IF(B212="","",(M212="是")*2+(O212="是")*1+(N212="HDPlayer")*1+IF(R212="大",2,IF(R212="中",1,0))+(S212="有興趣")*2+OR(H212="個人開發者",H212="沒有軟體")*2)</f>
        <v/>
      </c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6">
        <f>IF(B213="","",(M213="是")*2+(O213="是")*1+(N213="HDPlayer")*1+IF(R213="大",2,IF(R213="中",1,0))+(S213="有興趣")*2+OR(H213="個人開發者",H213="沒有軟體")*2)</f>
        <v/>
      </c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6">
        <f>IF(B214="","",(M214="是")*2+(O214="是")*1+(N214="HDPlayer")*1+IF(R214="大",2,IF(R214="中",1,0))+(S214="有興趣")*2+OR(H214="個人開發者",H214="沒有軟體")*2)</f>
        <v/>
      </c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6">
        <f>IF(B215="","",(M215="是")*2+(O215="是")*1+(N215="HDPlayer")*1+IF(R215="大",2,IF(R215="中",1,0))+(S215="有興趣")*2+OR(H215="個人開發者",H215="沒有軟體")*2)</f>
        <v/>
      </c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6">
        <f>IF(B216="","",(M216="是")*2+(O216="是")*1+(N216="HDPlayer")*1+IF(R216="大",2,IF(R216="中",1,0))+(S216="有興趣")*2+OR(H216="個人開發者",H216="沒有軟體")*2)</f>
        <v/>
      </c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6">
        <f>IF(B217="","",(M217="是")*2+(O217="是")*1+(N217="HDPlayer")*1+IF(R217="大",2,IF(R217="中",1,0))+(S217="有興趣")*2+OR(H217="個人開發者",H217="沒有軟體")*2)</f>
        <v/>
      </c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6">
        <f>IF(B218="","",(M218="是")*2+(O218="是")*1+(N218="HDPlayer")*1+IF(R218="大",2,IF(R218="中",1,0))+(S218="有興趣")*2+OR(H218="個人開發者",H218="沒有軟體")*2)</f>
        <v/>
      </c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6">
        <f>IF(B219="","",(M219="是")*2+(O219="是")*1+(N219="HDPlayer")*1+IF(R219="大",2,IF(R219="中",1,0))+(S219="有興趣")*2+OR(H219="個人開發者",H219="沒有軟體")*2)</f>
        <v/>
      </c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6">
        <f>IF(B220="","",(M220="是")*2+(O220="是")*1+(N220="HDPlayer")*1+IF(R220="大",2,IF(R220="中",1,0))+(S220="有興趣")*2+OR(H220="個人開發者",H220="沒有軟體")*2)</f>
        <v/>
      </c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6">
        <f>IF(B221="","",(M221="是")*2+(O221="是")*1+(N221="HDPlayer")*1+IF(R221="大",2,IF(R221="中",1,0))+(S221="有興趣")*2+OR(H221="個人開發者",H221="沒有軟體")*2)</f>
        <v/>
      </c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6">
        <f>IF(B222="","",(M222="是")*2+(O222="是")*1+(N222="HDPlayer")*1+IF(R222="大",2,IF(R222="中",1,0))+(S222="有興趣")*2+OR(H222="個人開發者",H222="沒有軟體")*2)</f>
        <v/>
      </c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6">
        <f>IF(B223="","",(M223="是")*2+(O223="是")*1+(N223="HDPlayer")*1+IF(R223="大",2,IF(R223="中",1,0))+(S223="有興趣")*2+OR(H223="個人開發者",H223="沒有軟體")*2)</f>
        <v/>
      </c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6">
        <f>IF(B224="","",(M224="是")*2+(O224="是")*1+(N224="HDPlayer")*1+IF(R224="大",2,IF(R224="中",1,0))+(S224="有興趣")*2+OR(H224="個人開發者",H224="沒有軟體")*2)</f>
        <v/>
      </c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6">
        <f>IF(B225="","",(M225="是")*2+(O225="是")*1+(N225="HDPlayer")*1+IF(R225="大",2,IF(R225="中",1,0))+(S225="有興趣")*2+OR(H225="個人開發者",H225="沒有軟體")*2)</f>
        <v/>
      </c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6">
        <f>IF(B226="","",(M226="是")*2+(O226="是")*1+(N226="HDPlayer")*1+IF(R226="大",2,IF(R226="中",1,0))+(S226="有興趣")*2+OR(H226="個人開發者",H226="沒有軟體")*2)</f>
        <v/>
      </c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6">
        <f>IF(B227="","",(M227="是")*2+(O227="是")*1+(N227="HDPlayer")*1+IF(R227="大",2,IF(R227="中",1,0))+(S227="有興趣")*2+OR(H227="個人開發者",H227="沒有軟體")*2)</f>
        <v/>
      </c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6">
        <f>IF(B228="","",(M228="是")*2+(O228="是")*1+(N228="HDPlayer")*1+IF(R228="大",2,IF(R228="中",1,0))+(S228="有興趣")*2+OR(H228="個人開發者",H228="沒有軟體")*2)</f>
        <v/>
      </c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6">
        <f>IF(B229="","",(M229="是")*2+(O229="是")*1+(N229="HDPlayer")*1+IF(R229="大",2,IF(R229="中",1,0))+(S229="有興趣")*2+OR(H229="個人開發者",H229="沒有軟體")*2)</f>
        <v/>
      </c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6">
        <f>IF(B230="","",(M230="是")*2+(O230="是")*1+(N230="HDPlayer")*1+IF(R230="大",2,IF(R230="中",1,0))+(S230="有興趣")*2+OR(H230="個人開發者",H230="沒有軟體")*2)</f>
        <v/>
      </c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6">
        <f>IF(B231="","",(M231="是")*2+(O231="是")*1+(N231="HDPlayer")*1+IF(R231="大",2,IF(R231="中",1,0))+(S231="有興趣")*2+OR(H231="個人開發者",H231="沒有軟體")*2)</f>
        <v/>
      </c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6">
        <f>IF(B232="","",(M232="是")*2+(O232="是")*1+(N232="HDPlayer")*1+IF(R232="大",2,IF(R232="中",1,0))+(S232="有興趣")*2+OR(H232="個人開發者",H232="沒有軟體")*2)</f>
        <v/>
      </c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6">
        <f>IF(B233="","",(M233="是")*2+(O233="是")*1+(N233="HDPlayer")*1+IF(R233="大",2,IF(R233="中",1,0))+(S233="有興趣")*2+OR(H233="個人開發者",H233="沒有軟體")*2)</f>
        <v/>
      </c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6">
        <f>IF(B234="","",(M234="是")*2+(O234="是")*1+(N234="HDPlayer")*1+IF(R234="大",2,IF(R234="中",1,0))+(S234="有興趣")*2+OR(H234="個人開發者",H234="沒有軟體")*2)</f>
        <v/>
      </c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6">
        <f>IF(B235="","",(M235="是")*2+(O235="是")*1+(N235="HDPlayer")*1+IF(R235="大",2,IF(R235="中",1,0))+(S235="有興趣")*2+OR(H235="個人開發者",H235="沒有軟體")*2)</f>
        <v/>
      </c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6">
        <f>IF(B236="","",(M236="是")*2+(O236="是")*1+(N236="HDPlayer")*1+IF(R236="大",2,IF(R236="中",1,0))+(S236="有興趣")*2+OR(H236="個人開發者",H236="沒有軟體")*2)</f>
        <v/>
      </c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6">
        <f>IF(B237="","",(M237="是")*2+(O237="是")*1+(N237="HDPlayer")*1+IF(R237="大",2,IF(R237="中",1,0))+(S237="有興趣")*2+OR(H237="個人開發者",H237="沒有軟體")*2)</f>
        <v/>
      </c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6">
        <f>IF(B238="","",(M238="是")*2+(O238="是")*1+(N238="HDPlayer")*1+IF(R238="大",2,IF(R238="中",1,0))+(S238="有興趣")*2+OR(H238="個人開發者",H238="沒有軟體")*2)</f>
        <v/>
      </c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6">
        <f>IF(B239="","",(M239="是")*2+(O239="是")*1+(N239="HDPlayer")*1+IF(R239="大",2,IF(R239="中",1,0))+(S239="有興趣")*2+OR(H239="個人開發者",H239="沒有軟體")*2)</f>
        <v/>
      </c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6">
        <f>IF(B240="","",(M240="是")*2+(O240="是")*1+(N240="HDPlayer")*1+IF(R240="大",2,IF(R240="中",1,0))+(S240="有興趣")*2+OR(H240="個人開發者",H240="沒有軟體")*2)</f>
        <v/>
      </c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6">
        <f>IF(B241="","",(M241="是")*2+(O241="是")*1+(N241="HDPlayer")*1+IF(R241="大",2,IF(R241="中",1,0))+(S241="有興趣")*2+OR(H241="個人開發者",H241="沒有軟體")*2)</f>
        <v/>
      </c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6">
        <f>IF(B242="","",(M242="是")*2+(O242="是")*1+(N242="HDPlayer")*1+IF(R242="大",2,IF(R242="中",1,0))+(S242="有興趣")*2+OR(H242="個人開發者",H242="沒有軟體")*2)</f>
        <v/>
      </c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6">
        <f>IF(B243="","",(M243="是")*2+(O243="是")*1+(N243="HDPlayer")*1+IF(R243="大",2,IF(R243="中",1,0))+(S243="有興趣")*2+OR(H243="個人開發者",H243="沒有軟體")*2)</f>
        <v/>
      </c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6">
        <f>IF(B244="","",(M244="是")*2+(O244="是")*1+(N244="HDPlayer")*1+IF(R244="大",2,IF(R244="中",1,0))+(S244="有興趣")*2+OR(H244="個人開發者",H244="沒有軟體")*2)</f>
        <v/>
      </c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6">
        <f>IF(B245="","",(M245="是")*2+(O245="是")*1+(N245="HDPlayer")*1+IF(R245="大",2,IF(R245="中",1,0))+(S245="有興趣")*2+OR(H245="個人開發者",H245="沒有軟體")*2)</f>
        <v/>
      </c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6">
        <f>IF(B246="","",(M246="是")*2+(O246="是")*1+(N246="HDPlayer")*1+IF(R246="大",2,IF(R246="中",1,0))+(S246="有興趣")*2+OR(H246="個人開發者",H246="沒有軟體")*2)</f>
        <v/>
      </c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6">
        <f>IF(B247="","",(M247="是")*2+(O247="是")*1+(N247="HDPlayer")*1+IF(R247="大",2,IF(R247="中",1,0))+(S247="有興趣")*2+OR(H247="個人開發者",H247="沒有軟體")*2)</f>
        <v/>
      </c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6">
        <f>IF(B248="","",(M248="是")*2+(O248="是")*1+(N248="HDPlayer")*1+IF(R248="大",2,IF(R248="中",1,0))+(S248="有興趣")*2+OR(H248="個人開發者",H248="沒有軟體")*2)</f>
        <v/>
      </c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6">
        <f>IF(B249="","",(M249="是")*2+(O249="是")*1+(N249="HDPlayer")*1+IF(R249="大",2,IF(R249="中",1,0))+(S249="有興趣")*2+OR(H249="個人開發者",H249="沒有軟體")*2)</f>
        <v/>
      </c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6">
        <f>IF(B250="","",(M250="是")*2+(O250="是")*1+(N250="HDPlayer")*1+IF(R250="大",2,IF(R250="中",1,0))+(S250="有興趣")*2+OR(H250="個人開發者",H250="沒有軟體")*2)</f>
        <v/>
      </c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6">
        <f>IF(B251="","",(M251="是")*2+(O251="是")*1+(N251="HDPlayer")*1+IF(R251="大",2,IF(R251="中",1,0))+(S251="有興趣")*2+OR(H251="個人開發者",H251="沒有軟體")*2)</f>
        <v/>
      </c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6">
        <f>IF(B252="","",(M252="是")*2+(O252="是")*1+(N252="HDPlayer")*1+IF(R252="大",2,IF(R252="中",1,0))+(S252="有興趣")*2+OR(H252="個人開發者",H252="沒有軟體")*2)</f>
        <v/>
      </c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6">
        <f>IF(B253="","",(M253="是")*2+(O253="是")*1+(N253="HDPlayer")*1+IF(R253="大",2,IF(R253="中",1,0))+(S253="有興趣")*2+OR(H253="個人開發者",H253="沒有軟體")*2)</f>
        <v/>
      </c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6">
        <f>IF(B254="","",(M254="是")*2+(O254="是")*1+(N254="HDPlayer")*1+IF(R254="大",2,IF(R254="中",1,0))+(S254="有興趣")*2+OR(H254="個人開發者",H254="沒有軟體")*2)</f>
        <v/>
      </c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6">
        <f>IF(B255="","",(M255="是")*2+(O255="是")*1+(N255="HDPlayer")*1+IF(R255="大",2,IF(R255="中",1,0))+(S255="有興趣")*2+OR(H255="個人開發者",H255="沒有軟體")*2)</f>
        <v/>
      </c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6">
        <f>IF(B256="","",(M256="是")*2+(O256="是")*1+(N256="HDPlayer")*1+IF(R256="大",2,IF(R256="中",1,0))+(S256="有興趣")*2+OR(H256="個人開發者",H256="沒有軟體")*2)</f>
        <v/>
      </c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6">
        <f>IF(B257="","",(M257="是")*2+(O257="是")*1+(N257="HDPlayer")*1+IF(R257="大",2,IF(R257="中",1,0))+(S257="有興趣")*2+OR(H257="個人開發者",H257="沒有軟體")*2)</f>
        <v/>
      </c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6">
        <f>IF(B258="","",(M258="是")*2+(O258="是")*1+(N258="HDPlayer")*1+IF(R258="大",2,IF(R258="中",1,0))+(S258="有興趣")*2+OR(H258="個人開發者",H258="沒有軟體")*2)</f>
        <v/>
      </c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6">
        <f>IF(B259="","",(M259="是")*2+(O259="是")*1+(N259="HDPlayer")*1+IF(R259="大",2,IF(R259="中",1,0))+(S259="有興趣")*2+OR(H259="個人開發者",H259="沒有軟體")*2)</f>
        <v/>
      </c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6">
        <f>IF(B260="","",(M260="是")*2+(O260="是")*1+(N260="HDPlayer")*1+IF(R260="大",2,IF(R260="中",1,0))+(S260="有興趣")*2+OR(H260="個人開發者",H260="沒有軟體")*2)</f>
        <v/>
      </c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6">
        <f>IF(B261="","",(M261="是")*2+(O261="是")*1+(N261="HDPlayer")*1+IF(R261="大",2,IF(R261="中",1,0))+(S261="有興趣")*2+OR(H261="個人開發者",H261="沒有軟體")*2)</f>
        <v/>
      </c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6">
        <f>IF(B262="","",(M262="是")*2+(O262="是")*1+(N262="HDPlayer")*1+IF(R262="大",2,IF(R262="中",1,0))+(S262="有興趣")*2+OR(H262="個人開發者",H262="沒有軟體")*2)</f>
        <v/>
      </c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6">
        <f>IF(B263="","",(M263="是")*2+(O263="是")*1+(N263="HDPlayer")*1+IF(R263="大",2,IF(R263="中",1,0))+(S263="有興趣")*2+OR(H263="個人開發者",H263="沒有軟體")*2)</f>
        <v/>
      </c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6">
        <f>IF(B264="","",(M264="是")*2+(O264="是")*1+(N264="HDPlayer")*1+IF(R264="大",2,IF(R264="中",1,0))+(S264="有興趣")*2+OR(H264="個人開發者",H264="沒有軟體")*2)</f>
        <v/>
      </c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6">
        <f>IF(B265="","",(M265="是")*2+(O265="是")*1+(N265="HDPlayer")*1+IF(R265="大",2,IF(R265="中",1,0))+(S265="有興趣")*2+OR(H265="個人開發者",H265="沒有軟體")*2)</f>
        <v/>
      </c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6">
        <f>IF(B266="","",(M266="是")*2+(O266="是")*1+(N266="HDPlayer")*1+IF(R266="大",2,IF(R266="中",1,0))+(S266="有興趣")*2+OR(H266="個人開發者",H266="沒有軟體")*2)</f>
        <v/>
      </c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6">
        <f>IF(B267="","",(M267="是")*2+(O267="是")*1+(N267="HDPlayer")*1+IF(R267="大",2,IF(R267="中",1,0))+(S267="有興趣")*2+OR(H267="個人開發者",H267="沒有軟體")*2)</f>
        <v/>
      </c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6">
        <f>IF(B268="","",(M268="是")*2+(O268="是")*1+(N268="HDPlayer")*1+IF(R268="大",2,IF(R268="中",1,0))+(S268="有興趣")*2+OR(H268="個人開發者",H268="沒有軟體")*2)</f>
        <v/>
      </c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6">
        <f>IF(B269="","",(M269="是")*2+(O269="是")*1+(N269="HDPlayer")*1+IF(R269="大",2,IF(R269="中",1,0))+(S269="有興趣")*2+OR(H269="個人開發者",H269="沒有軟體")*2)</f>
        <v/>
      </c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6">
        <f>IF(B270="","",(M270="是")*2+(O270="是")*1+(N270="HDPlayer")*1+IF(R270="大",2,IF(R270="中",1,0))+(S270="有興趣")*2+OR(H270="個人開發者",H270="沒有軟體")*2)</f>
        <v/>
      </c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6">
        <f>IF(B271="","",(M271="是")*2+(O271="是")*1+(N271="HDPlayer")*1+IF(R271="大",2,IF(R271="中",1,0))+(S271="有興趣")*2+OR(H271="個人開發者",H271="沒有軟體")*2)</f>
        <v/>
      </c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6">
        <f>IF(B272="","",(M272="是")*2+(O272="是")*1+(N272="HDPlayer")*1+IF(R272="大",2,IF(R272="中",1,0))+(S272="有興趣")*2+OR(H272="個人開發者",H272="沒有軟體")*2)</f>
        <v/>
      </c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6">
        <f>IF(B273="","",(M273="是")*2+(O273="是")*1+(N273="HDPlayer")*1+IF(R273="大",2,IF(R273="中",1,0))+(S273="有興趣")*2+OR(H273="個人開發者",H273="沒有軟體")*2)</f>
        <v/>
      </c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6">
        <f>IF(B274="","",(M274="是")*2+(O274="是")*1+(N274="HDPlayer")*1+IF(R274="大",2,IF(R274="中",1,0))+(S274="有興趣")*2+OR(H274="個人開發者",H274="沒有軟體")*2)</f>
        <v/>
      </c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6">
        <f>IF(B275="","",(M275="是")*2+(O275="是")*1+(N275="HDPlayer")*1+IF(R275="大",2,IF(R275="中",1,0))+(S275="有興趣")*2+OR(H275="個人開發者",H275="沒有軟體")*2)</f>
        <v/>
      </c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6">
        <f>IF(B276="","",(M276="是")*2+(O276="是")*1+(N276="HDPlayer")*1+IF(R276="大",2,IF(R276="中",1,0))+(S276="有興趣")*2+OR(H276="個人開發者",H276="沒有軟體")*2)</f>
        <v/>
      </c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6">
        <f>IF(B277="","",(M277="是")*2+(O277="是")*1+(N277="HDPlayer")*1+IF(R277="大",2,IF(R277="中",1,0))+(S277="有興趣")*2+OR(H277="個人開發者",H277="沒有軟體")*2)</f>
        <v/>
      </c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6">
        <f>IF(B278="","",(M278="是")*2+(O278="是")*1+(N278="HDPlayer")*1+IF(R278="大",2,IF(R278="中",1,0))+(S278="有興趣")*2+OR(H278="個人開發者",H278="沒有軟體")*2)</f>
        <v/>
      </c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6">
        <f>IF(B279="","",(M279="是")*2+(O279="是")*1+(N279="HDPlayer")*1+IF(R279="大",2,IF(R279="中",1,0))+(S279="有興趣")*2+OR(H279="個人開發者",H279="沒有軟體")*2)</f>
        <v/>
      </c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6">
        <f>IF(B280="","",(M280="是")*2+(O280="是")*1+(N280="HDPlayer")*1+IF(R280="大",2,IF(R280="中",1,0))+(S280="有興趣")*2+OR(H280="個人開發者",H280="沒有軟體")*2)</f>
        <v/>
      </c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6">
        <f>IF(B281="","",(M281="是")*2+(O281="是")*1+(N281="HDPlayer")*1+IF(R281="大",2,IF(R281="中",1,0))+(S281="有興趣")*2+OR(H281="個人開發者",H281="沒有軟體")*2)</f>
        <v/>
      </c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6">
        <f>IF(B282="","",(M282="是")*2+(O282="是")*1+(N282="HDPlayer")*1+IF(R282="大",2,IF(R282="中",1,0))+(S282="有興趣")*2+OR(H282="個人開發者",H282="沒有軟體")*2)</f>
        <v/>
      </c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6">
        <f>IF(B283="","",(M283="是")*2+(O283="是")*1+(N283="HDPlayer")*1+IF(R283="大",2,IF(R283="中",1,0))+(S283="有興趣")*2+OR(H283="個人開發者",H283="沒有軟體")*2)</f>
        <v/>
      </c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6">
        <f>IF(B284="","",(M284="是")*2+(O284="是")*1+(N284="HDPlayer")*1+IF(R284="大",2,IF(R284="中",1,0))+(S284="有興趣")*2+OR(H284="個人開發者",H284="沒有軟體")*2)</f>
        <v/>
      </c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6">
        <f>IF(B285="","",(M285="是")*2+(O285="是")*1+(N285="HDPlayer")*1+IF(R285="大",2,IF(R285="中",1,0))+(S285="有興趣")*2+OR(H285="個人開發者",H285="沒有軟體")*2)</f>
        <v/>
      </c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6">
        <f>IF(B286="","",(M286="是")*2+(O286="是")*1+(N286="HDPlayer")*1+IF(R286="大",2,IF(R286="中",1,0))+(S286="有興趣")*2+OR(H286="個人開發者",H286="沒有軟體")*2)</f>
        <v/>
      </c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6">
        <f>IF(B287="","",(M287="是")*2+(O287="是")*1+(N287="HDPlayer")*1+IF(R287="大",2,IF(R287="中",1,0))+(S287="有興趣")*2+OR(H287="個人開發者",H287="沒有軟體")*2)</f>
        <v/>
      </c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6">
        <f>IF(B288="","",(M288="是")*2+(O288="是")*1+(N288="HDPlayer")*1+IF(R288="大",2,IF(R288="中",1,0))+(S288="有興趣")*2+OR(H288="個人開發者",H288="沒有軟體")*2)</f>
        <v/>
      </c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6">
        <f>IF(B289="","",(M289="是")*2+(O289="是")*1+(N289="HDPlayer")*1+IF(R289="大",2,IF(R289="中",1,0))+(S289="有興趣")*2+OR(H289="個人開發者",H289="沒有軟體")*2)</f>
        <v/>
      </c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6">
        <f>IF(B290="","",(M290="是")*2+(O290="是")*1+(N290="HDPlayer")*1+IF(R290="大",2,IF(R290="中",1,0))+(S290="有興趣")*2+OR(H290="個人開發者",H290="沒有軟體")*2)</f>
        <v/>
      </c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6">
        <f>IF(B291="","",(M291="是")*2+(O291="是")*1+(N291="HDPlayer")*1+IF(R291="大",2,IF(R291="中",1,0))+(S291="有興趣")*2+OR(H291="個人開發者",H291="沒有軟體")*2)</f>
        <v/>
      </c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6">
        <f>IF(B292="","",(M292="是")*2+(O292="是")*1+(N292="HDPlayer")*1+IF(R292="大",2,IF(R292="中",1,0))+(S292="有興趣")*2+OR(H292="個人開發者",H292="沒有軟體")*2)</f>
        <v/>
      </c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6">
        <f>IF(B293="","",(M293="是")*2+(O293="是")*1+(N293="HDPlayer")*1+IF(R293="大",2,IF(R293="中",1,0))+(S293="有興趣")*2+OR(H293="個人開發者",H293="沒有軟體")*2)</f>
        <v/>
      </c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6">
        <f>IF(B294="","",(M294="是")*2+(O294="是")*1+(N294="HDPlayer")*1+IF(R294="大",2,IF(R294="中",1,0))+(S294="有興趣")*2+OR(H294="個人開發者",H294="沒有軟體")*2)</f>
        <v/>
      </c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6">
        <f>IF(B295="","",(M295="是")*2+(O295="是")*1+(N295="HDPlayer")*1+IF(R295="大",2,IF(R295="中",1,0))+(S295="有興趣")*2+OR(H295="個人開發者",H295="沒有軟體")*2)</f>
        <v/>
      </c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6">
        <f>IF(B296="","",(M296="是")*2+(O296="是")*1+(N296="HDPlayer")*1+IF(R296="大",2,IF(R296="中",1,0))+(S296="有興趣")*2+OR(H296="個人開發者",H296="沒有軟體")*2)</f>
        <v/>
      </c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6">
        <f>IF(B297="","",(M297="是")*2+(O297="是")*1+(N297="HDPlayer")*1+IF(R297="大",2,IF(R297="中",1,0))+(S297="有興趣")*2+OR(H297="個人開發者",H297="沒有軟體")*2)</f>
        <v/>
      </c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6">
        <f>IF(B298="","",(M298="是")*2+(O298="是")*1+(N298="HDPlayer")*1+IF(R298="大",2,IF(R298="中",1,0))+(S298="有興趣")*2+OR(H298="個人開發者",H298="沒有軟體")*2)</f>
        <v/>
      </c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6">
        <f>IF(B299="","",(M299="是")*2+(O299="是")*1+(N299="HDPlayer")*1+IF(R299="大",2,IF(R299="中",1,0))+(S299="有興趣")*2+OR(H299="個人開發者",H299="沒有軟體")*2)</f>
        <v/>
      </c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6">
        <f>IF(B300="","",(M300="是")*2+(O300="是")*1+(N300="HDPlayer")*1+IF(R300="大",2,IF(R300="中",1,0))+(S300="有興趣")*2+OR(H300="個人開發者",H300="沒有軟體")*2)</f>
        <v/>
      </c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6">
        <f>IF(B301="","",(M301="是")*2+(O301="是")*1+(N301="HDPlayer")*1+IF(R301="大",2,IF(R301="中",1,0))+(S301="有興趣")*2+OR(H301="個人開發者",H301="沒有軟體")*2)</f>
        <v/>
      </c>
    </row>
  </sheetData>
  <autoFilter ref="A1:Y301"/>
  <conditionalFormatting sqref="Y2:Y301">
    <cfRule type="expression" priority="1" dxfId="0">
      <formula>AND(Y2&lt;&gt;"",Y2&gt;=7)</formula>
    </cfRule>
  </conditionalFormatting>
  <dataValidations count="11">
    <dataValidation sqref="H2:H301" showDropDown="0" showInputMessage="0" showErrorMessage="0" allowBlank="1" type="list">
      <formula1>"個人開發者,套裝軟體,雲端平台,沒有軟體,其他"</formula1>
    </dataValidation>
    <dataValidation sqref="J2:J301" showDropDown="0" showInputMessage="0" showErrorMessage="0" allowBlank="1" type="list">
      <formula1>"一次買斷,月租,年費,免費,不清楚"</formula1>
    </dataValidation>
    <dataValidation sqref="L2:L301" showDropDown="0" showInputMessage="0" showErrorMessage="0" allowBlank="1" type="list">
      <formula1>"1,2,3,4,5"</formula1>
    </dataValidation>
    <dataValidation sqref="M2:M301" showDropDown="0" showInputMessage="0" showErrorMessage="0" allowBlank="1" type="list">
      <formula1>"是,否"</formula1>
    </dataValidation>
    <dataValidation sqref="O2:O301" showDropDown="0" showInputMessage="0" showErrorMessage="0" allowBlank="1" type="list">
      <formula1>"是,否"</formula1>
    </dataValidation>
    <dataValidation sqref="Q2:Q301" showDropDown="0" showInputMessage="0" showErrorMessage="0" allowBlank="1" type="list">
      <formula1>"是,否"</formula1>
    </dataValidation>
    <dataValidation sqref="U2:U301" showDropDown="0" showInputMessage="0" showErrorMessage="0" allowBlank="1" type="list">
      <formula1>"是,否"</formula1>
    </dataValidation>
    <dataValidation sqref="N2:N301" showDropDown="0" showInputMessage="0" showErrorMessage="0" allowBlank="1" type="list">
      <formula1>"HDPlayer,C-Power,其他,沒有"</formula1>
    </dataValidation>
    <dataValidation sqref="R2:R301" showDropDown="0" showInputMessage="0" showErrorMessage="0" allowBlank="1" type="list">
      <formula1>"大,中,小"</formula1>
    </dataValidation>
    <dataValidation sqref="S2:S301" showDropDown="0" showInputMessage="0" showErrorMessage="0" allowBlank="1" type="list">
      <formula1>"有興趣,普通,保守"</formula1>
    </dataValidation>
    <dataValidation sqref="C2:C301" showDropDown="0" showInputMessage="0" showErrorMessage="0" allowBlank="1" type="list">
      <formula1>"嘉義縣,嘉義市,台南市,高雄市,屏東縣,雲林縣,彰化縣,台中市,南投縣,其他"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2" customWidth="1" min="3" max="3"/>
  </cols>
  <sheetData>
    <row r="1">
      <c r="A1" s="8" t="inlineStr">
        <is>
          <t>調查彙總（自動計算）</t>
        </is>
      </c>
    </row>
    <row r="2">
      <c r="A2" s="9" t="n"/>
      <c r="B2" s="9" t="n"/>
      <c r="C2" s="9" t="n"/>
    </row>
    <row r="3">
      <c r="A3" s="9" t="inlineStr">
        <is>
          <t>已調查家數</t>
        </is>
      </c>
      <c r="B3" s="9">
        <f>COUNTA(調查表!$B$3:$B$301)</f>
        <v/>
      </c>
      <c r="C3" s="9" t="inlineStr">
        <is>
          <t>（不含第 2 列示範）</t>
        </is>
      </c>
    </row>
    <row r="4">
      <c r="A4" s="9" t="inlineStr">
        <is>
          <t>目標家數</t>
        </is>
      </c>
      <c r="B4" s="10" t="n">
        <v>215</v>
      </c>
      <c r="C4" s="11" t="inlineStr">
        <is>
          <t>← 目標家數（使用者提供）</t>
        </is>
      </c>
    </row>
    <row r="5">
      <c r="A5" s="9" t="inlineStr">
        <is>
          <t>完成率</t>
        </is>
      </c>
      <c r="B5" s="12">
        <f>IFERROR(B3/B4,0)</f>
        <v/>
      </c>
      <c r="C5" s="9" t="n"/>
    </row>
    <row r="6">
      <c r="A6" s="9" t="n"/>
      <c r="B6" s="9" t="n"/>
      <c r="C6" s="9" t="n"/>
    </row>
    <row r="7">
      <c r="A7" s="2" t="inlineStr">
        <is>
          <t>現用廟務軟體</t>
        </is>
      </c>
      <c r="B7" s="2" t="inlineStr">
        <is>
          <t>家數</t>
        </is>
      </c>
      <c r="C7" s="2" t="inlineStr">
        <is>
          <t>占比</t>
        </is>
      </c>
    </row>
    <row r="8">
      <c r="A8" s="9" t="inlineStr">
        <is>
          <t>個人開發者</t>
        </is>
      </c>
      <c r="B8" s="9">
        <f>COUNTIF(調查表!$H$3:$H$301,A8)</f>
        <v/>
      </c>
      <c r="C8" s="12">
        <f>IFERROR(B8/$B$3,0)</f>
        <v/>
      </c>
    </row>
    <row r="9">
      <c r="A9" s="9" t="inlineStr">
        <is>
          <t>套裝軟體</t>
        </is>
      </c>
      <c r="B9" s="9">
        <f>COUNTIF(調查表!$H$3:$H$301,A9)</f>
        <v/>
      </c>
      <c r="C9" s="12">
        <f>IFERROR(B9/$B$3,0)</f>
        <v/>
      </c>
    </row>
    <row r="10">
      <c r="A10" s="9" t="inlineStr">
        <is>
          <t>雲端平台</t>
        </is>
      </c>
      <c r="B10" s="9">
        <f>COUNTIF(調查表!$H$3:$H$301,A10)</f>
        <v/>
      </c>
      <c r="C10" s="12">
        <f>IFERROR(B10/$B$3,0)</f>
        <v/>
      </c>
    </row>
    <row r="11">
      <c r="A11" s="9" t="inlineStr">
        <is>
          <t>沒有軟體</t>
        </is>
      </c>
      <c r="B11" s="9">
        <f>COUNTIF(調查表!$H$3:$H$301,A11)</f>
        <v/>
      </c>
      <c r="C11" s="12">
        <f>IFERROR(B11/$B$3,0)</f>
        <v/>
      </c>
    </row>
    <row r="12">
      <c r="A12" s="9" t="inlineStr">
        <is>
          <t>其他</t>
        </is>
      </c>
      <c r="B12" s="9">
        <f>COUNTIF(調查表!$H$3:$H$301,A12)</f>
        <v/>
      </c>
      <c r="C12" s="12">
        <f>IFERROR(B12/$B$3,0)</f>
        <v/>
      </c>
    </row>
    <row r="13">
      <c r="A13" s="9" t="n"/>
      <c r="B13" s="9" t="n"/>
      <c r="C13" s="9" t="n"/>
    </row>
    <row r="14">
      <c r="A14" s="2" t="inlineStr">
        <is>
          <t>縣市</t>
        </is>
      </c>
      <c r="B14" s="2" t="inlineStr">
        <is>
          <t>家數</t>
        </is>
      </c>
      <c r="C14" s="2" t="inlineStr">
        <is>
          <t>平均機會分數</t>
        </is>
      </c>
    </row>
    <row r="15">
      <c r="A15" s="9" t="inlineStr">
        <is>
          <t>嘉義縣</t>
        </is>
      </c>
      <c r="B15" s="9">
        <f>COUNTIF(調查表!$C$3:$C$301,A15)</f>
        <v/>
      </c>
      <c r="C15" s="13">
        <f>IFERROR(AVERAGEIF(調查表!$C$3:$C$301,A15,調查表!$Y$3:$Y$301),0)</f>
        <v/>
      </c>
    </row>
    <row r="16">
      <c r="A16" s="9" t="inlineStr">
        <is>
          <t>嘉義市</t>
        </is>
      </c>
      <c r="B16" s="9">
        <f>COUNTIF(調查表!$C$3:$C$301,A16)</f>
        <v/>
      </c>
      <c r="C16" s="13">
        <f>IFERROR(AVERAGEIF(調查表!$C$3:$C$301,A16,調查表!$Y$3:$Y$301),0)</f>
        <v/>
      </c>
    </row>
    <row r="17">
      <c r="A17" s="9" t="inlineStr">
        <is>
          <t>台南市</t>
        </is>
      </c>
      <c r="B17" s="9">
        <f>COUNTIF(調查表!$C$3:$C$301,A17)</f>
        <v/>
      </c>
      <c r="C17" s="13">
        <f>IFERROR(AVERAGEIF(調查表!$C$3:$C$301,A17,調查表!$Y$3:$Y$301),0)</f>
        <v/>
      </c>
    </row>
    <row r="18">
      <c r="A18" s="9" t="inlineStr">
        <is>
          <t>高雄市</t>
        </is>
      </c>
      <c r="B18" s="9">
        <f>COUNTIF(調查表!$C$3:$C$301,A18)</f>
        <v/>
      </c>
      <c r="C18" s="13">
        <f>IFERROR(AVERAGEIF(調查表!$C$3:$C$301,A18,調查表!$Y$3:$Y$301),0)</f>
        <v/>
      </c>
    </row>
    <row r="19">
      <c r="A19" s="9" t="inlineStr">
        <is>
          <t>屏東縣</t>
        </is>
      </c>
      <c r="B19" s="9">
        <f>COUNTIF(調查表!$C$3:$C$301,A19)</f>
        <v/>
      </c>
      <c r="C19" s="13">
        <f>IFERROR(AVERAGEIF(調查表!$C$3:$C$301,A19,調查表!$Y$3:$Y$301),0)</f>
        <v/>
      </c>
    </row>
    <row r="20">
      <c r="A20" s="9" t="inlineStr">
        <is>
          <t>雲林縣</t>
        </is>
      </c>
      <c r="B20" s="9">
        <f>COUNTIF(調查表!$C$3:$C$301,A20)</f>
        <v/>
      </c>
      <c r="C20" s="13">
        <f>IFERROR(AVERAGEIF(調查表!$C$3:$C$301,A20,調查表!$Y$3:$Y$301),0)</f>
        <v/>
      </c>
    </row>
    <row r="21">
      <c r="A21" s="9" t="inlineStr">
        <is>
          <t>彰化縣</t>
        </is>
      </c>
      <c r="B21" s="9">
        <f>COUNTIF(調查表!$C$3:$C$301,A21)</f>
        <v/>
      </c>
      <c r="C21" s="13">
        <f>IFERROR(AVERAGEIF(調查表!$C$3:$C$301,A21,調查表!$Y$3:$Y$301),0)</f>
        <v/>
      </c>
    </row>
    <row r="22">
      <c r="A22" s="9" t="inlineStr">
        <is>
          <t>台中市</t>
        </is>
      </c>
      <c r="B22" s="9">
        <f>COUNTIF(調查表!$C$3:$C$301,A22)</f>
        <v/>
      </c>
      <c r="C22" s="13">
        <f>IFERROR(AVERAGEIF(調查表!$C$3:$C$301,A22,調查表!$Y$3:$Y$301),0)</f>
        <v/>
      </c>
    </row>
    <row r="23">
      <c r="A23" s="9" t="inlineStr">
        <is>
          <t>南投縣</t>
        </is>
      </c>
      <c r="B23" s="9">
        <f>COUNTIF(調查表!$C$3:$C$301,A23)</f>
        <v/>
      </c>
      <c r="C23" s="13">
        <f>IFERROR(AVERAGEIF(調查表!$C$3:$C$301,A23,調查表!$Y$3:$Y$301),0)</f>
        <v/>
      </c>
    </row>
    <row r="24">
      <c r="A24" s="9" t="inlineStr">
        <is>
          <t>其他</t>
        </is>
      </c>
      <c r="B24" s="9">
        <f>COUNTIF(調查表!$C$3:$C$301,A24)</f>
        <v/>
      </c>
      <c r="C24" s="13">
        <f>IFERROR(AVERAGEIF(調查表!$C$3:$C$301,A24,調查表!$Y$3:$Y$301),0)</f>
        <v/>
      </c>
    </row>
    <row r="25">
      <c r="A25" s="9" t="n"/>
      <c r="B25" s="9" t="n"/>
      <c r="C25" s="9" t="n"/>
    </row>
    <row r="26">
      <c r="A26" s="9" t="inlineStr">
        <is>
          <t>機會分數 ≥ 7 家數</t>
        </is>
      </c>
      <c r="B26" s="9">
        <f>COUNTIF(調查表!$Y$3:$Y$301,"&gt;=7")</f>
        <v/>
      </c>
      <c r="C26" s="9" t="inlineStr">
        <is>
          <t>← 優先當示範廟</t>
        </is>
      </c>
    </row>
    <row r="27">
      <c r="A27" s="9" t="inlineStr">
        <is>
          <t>有字幕機且為 HDPlayer</t>
        </is>
      </c>
      <c r="B27" s="9">
        <f>COUNTIFS(調查表!$M$3:$M$301,"是",調查表!$N$3:$N$301,"HDPlayer")</f>
        <v/>
      </c>
      <c r="C27" s="9" t="n"/>
    </row>
    <row r="28">
      <c r="A28" s="9" t="inlineStr">
        <is>
          <t>有電視可做功德榜</t>
        </is>
      </c>
      <c r="B28" s="9">
        <f>COUNTIF(調查表!$O$3:$O$301,"是")</f>
        <v/>
      </c>
      <c r="C2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2026-09-26T14:38:05Z</dcterms:created>
  <dcterms:modified xsi:type="dcterms:W3CDTF">2026-09-26T14:43:32Z</dcterms:modified>
</cp:coreProperties>
</file>